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V:\FORMATIONS\ESI Metz\- Formation RPI - ASI - CPI +3\CPI 2024-2025\Documents CIP Sup de Vinci\PROJET FIL ROUGE\"/>
    </mc:Choice>
  </mc:AlternateContent>
  <xr:revisionPtr revIDLastSave="0" documentId="8_{ED0A4D10-BB3C-4EA8-9096-326C74074B51}" xr6:coauthVersionLast="47" xr6:coauthVersionMax="47" xr10:uidLastSave="{00000000-0000-0000-0000-000000000000}"/>
  <bookViews>
    <workbookView xWindow="28680" yWindow="-120" windowWidth="29040" windowHeight="15720" xr2:uid="{3517DF7D-4A13-F241-881D-6694C841D765}"/>
  </bookViews>
  <sheets>
    <sheet name="MODE D'EMPLOI" sheetId="5" r:id="rId1"/>
    <sheet name="RECAPITULATIF CLASSE" sheetId="2" r:id="rId2"/>
    <sheet name="GROUPE 1" sheetId="1" r:id="rId3"/>
  </sheets>
  <definedNames>
    <definedName name="_xlnm.Print_Area" localSheetId="2">'GROUPE 1'!$A$1:$C$66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1" i="1" l="1"/>
  <c r="B196" i="1" l="1"/>
  <c r="J9" i="1" s="1"/>
  <c r="B183" i="1"/>
  <c r="B113" i="1"/>
  <c r="B118" i="1" s="1"/>
  <c r="B105" i="1"/>
  <c r="B170" i="1" s="1"/>
  <c r="B235" i="1" s="1"/>
  <c r="B104" i="1"/>
  <c r="B169" i="1" s="1"/>
  <c r="B234" i="1" s="1"/>
  <c r="B103" i="1"/>
  <c r="B168" i="1" s="1"/>
  <c r="B233" i="1" s="1"/>
  <c r="B102" i="1"/>
  <c r="B167" i="1" s="1"/>
  <c r="B232" i="1" s="1"/>
  <c r="B101" i="1"/>
  <c r="B166" i="1" s="1"/>
  <c r="B231" i="1" s="1"/>
  <c r="B100" i="1"/>
  <c r="B165" i="1" s="1"/>
  <c r="B99" i="1"/>
  <c r="B164" i="1" s="1"/>
  <c r="B229" i="1" s="1"/>
  <c r="B93" i="1"/>
  <c r="B158" i="1" s="1"/>
  <c r="B223" i="1" s="1"/>
  <c r="B92" i="1"/>
  <c r="B157" i="1" s="1"/>
  <c r="B222" i="1" s="1"/>
  <c r="B91" i="1"/>
  <c r="B156" i="1" s="1"/>
  <c r="B221" i="1" s="1"/>
  <c r="B90" i="1"/>
  <c r="B155" i="1" s="1"/>
  <c r="B220" i="1" s="1"/>
  <c r="B89" i="1"/>
  <c r="B154" i="1" s="1"/>
  <c r="B219" i="1" s="1"/>
  <c r="B88" i="1"/>
  <c r="B153" i="1" s="1"/>
  <c r="B218" i="1" s="1"/>
  <c r="B87" i="1"/>
  <c r="B86" i="1"/>
  <c r="B151" i="1" s="1"/>
  <c r="B216" i="1" s="1"/>
  <c r="B142" i="1"/>
  <c r="B207" i="1" s="1"/>
  <c r="B139" i="1"/>
  <c r="B204" i="1" s="1"/>
  <c r="B138" i="1"/>
  <c r="B203" i="1" s="1"/>
  <c r="B137" i="1"/>
  <c r="B43" i="1"/>
  <c r="B140" i="1"/>
  <c r="B205" i="1" s="1"/>
  <c r="B141" i="1"/>
  <c r="B206" i="1" s="1"/>
  <c r="B143" i="1"/>
  <c r="B208" i="1" s="1"/>
  <c r="B144" i="1"/>
  <c r="B209" i="1" s="1"/>
  <c r="B29" i="1"/>
  <c r="B53" i="1"/>
  <c r="B66" i="1"/>
  <c r="J7" i="1" s="1"/>
  <c r="B261" i="1"/>
  <c r="J10" i="1" s="1"/>
  <c r="B248" i="1"/>
  <c r="B131" i="1"/>
  <c r="J8" i="1" s="1"/>
  <c r="B146" i="1" l="1"/>
  <c r="I7" i="1"/>
  <c r="B230" i="1"/>
  <c r="B238" i="1" s="1"/>
  <c r="B173" i="1"/>
  <c r="B94" i="1"/>
  <c r="B152" i="1"/>
  <c r="B202" i="1"/>
  <c r="B211" i="1" s="1"/>
  <c r="B108" i="1"/>
  <c r="B16" i="1"/>
  <c r="B217" i="1" l="1"/>
  <c r="B224" i="1" s="1"/>
  <c r="H10" i="1" s="1"/>
  <c r="B159" i="1"/>
  <c r="H9" i="1" s="1"/>
  <c r="I10" i="1"/>
  <c r="I9" i="1"/>
  <c r="I8" i="1"/>
  <c r="H7" i="1"/>
  <c r="H8" i="1"/>
</calcChain>
</file>

<file path=xl/sharedStrings.xml><?xml version="1.0" encoding="utf-8"?>
<sst xmlns="http://schemas.openxmlformats.org/spreadsheetml/2006/main" count="341" uniqueCount="109">
  <si>
    <t>Critères d'évaluation</t>
  </si>
  <si>
    <t>Points</t>
  </si>
  <si>
    <t>Commentaire</t>
  </si>
  <si>
    <r>
      <t>Nombre de questions</t>
    </r>
    <r>
      <rPr>
        <sz val="10.5"/>
        <color theme="1"/>
        <rFont val="Roboto"/>
      </rPr>
      <t> (minimum 3 par étudiant)</t>
    </r>
  </si>
  <si>
    <r>
      <t>Niveau de compréhension du sujet</t>
    </r>
    <r>
      <rPr>
        <sz val="10.5"/>
        <color theme="1"/>
        <rFont val="Roboto"/>
      </rPr>
      <t> (démontré à travers les questions posées)</t>
    </r>
  </si>
  <si>
    <r>
      <t>Collaboration avec le référent pédagogique</t>
    </r>
    <r>
      <rPr>
        <sz val="10.5"/>
        <color theme="1"/>
        <rFont val="Roboto"/>
      </rPr>
      <t> (qualité des échanges, réactivité)</t>
    </r>
  </si>
  <si>
    <r>
      <t>Originalité et profondeur des questions posées</t>
    </r>
    <r>
      <rPr>
        <sz val="10.5"/>
        <color theme="1"/>
        <rFont val="Roboto"/>
      </rPr>
      <t> (questions qui démontrent une réflexion approfondie sur le sujet)</t>
    </r>
  </si>
  <si>
    <t>Qualité de la formulation et absence d'ambiguïté dans les questions</t>
  </si>
  <si>
    <t>Total : 50 points</t>
  </si>
  <si>
    <t>Réflexion personnelle sur les défis rencontrés</t>
  </si>
  <si>
    <t>Capacité à identifier ses forces et faiblesses</t>
  </si>
  <si>
    <t>Analyse des compétences développées</t>
  </si>
  <si>
    <t>Proposition d'axes d'amélioration pour de futurs projets</t>
  </si>
  <si>
    <t>Note de groupe</t>
  </si>
  <si>
    <t>Note individuelle</t>
  </si>
  <si>
    <t>Qualité des questions (logique, pertinence, clarté)</t>
  </si>
  <si>
    <t>Qualité d'animation</t>
  </si>
  <si>
    <t>Clarté et organisation des documents (PDF, présentation, structure)</t>
  </si>
  <si>
    <t>Qualité de la rédaction et clarté du document</t>
  </si>
  <si>
    <t xml:space="preserve">NOM GROUPE PROJET : </t>
  </si>
  <si>
    <t>Clarté de la présentation orale (Structure, fluidité, pertinence des informations, capacité à capter l’attention du jury.)</t>
  </si>
  <si>
    <t>Contexte et objectifs du projet (Présentation claire des besoins identifiés, compréhension globale du projet, et liens avec les attentes du client fictif.)</t>
  </si>
  <si>
    <t>Qualité de la démonstration du MVP (Fonctionnalités opérationnelles, pertinence par rapport aux besoins exprimés et valeur ajoutée.)</t>
  </si>
  <si>
    <t>Qualité du support (Esthétique, clarté des diapositives, cohérence visuelle, et adéquation au discours.)</t>
  </si>
  <si>
    <t>Pertinence des perspectives d’évolution (Propositions réalistes et stratégiques pour les prochaines phases du projet.)</t>
  </si>
  <si>
    <t>Originalité et innovation (Niveau d’innovation du MVP par rapport aux solutions existantes sur le marché ou aux attentes initiales.)</t>
  </si>
  <si>
    <t>Impact potentiel du MVP (Capacité à convaincre les utilisateurs finaux, satisfaction des besoins réels et apport d'une solution pérenne.)</t>
  </si>
  <si>
    <r>
      <t>Engagement individuel (Bonus) (</t>
    </r>
    <r>
      <rPr>
        <sz val="12"/>
        <color theme="1"/>
        <rFont val="Aptos Narrow"/>
        <family val="2"/>
        <scheme val="minor"/>
      </rPr>
      <t>Ajustement de ±2 points en fonction de la participation active de chaque membre, si des écarts sont constatés.)</t>
    </r>
  </si>
  <si>
    <t>BLOC 1</t>
  </si>
  <si>
    <t xml:space="preserve"> </t>
  </si>
  <si>
    <t>BLOC 2</t>
  </si>
  <si>
    <t>BLOC 3</t>
  </si>
  <si>
    <t>Etudiant 1</t>
  </si>
  <si>
    <t>Etudiant 2</t>
  </si>
  <si>
    <t>Etudiant 3</t>
  </si>
  <si>
    <t>Etudiant 4</t>
  </si>
  <si>
    <t>Prénom</t>
  </si>
  <si>
    <t>Nombre de questions (minimum 3 par étudiant)</t>
  </si>
  <si>
    <t>Niveau de compréhension du sujet (démontré à travers les questions posées)</t>
  </si>
  <si>
    <t>Collaboration avec le référent pédagogique (qualité des échanges, réactivité)</t>
  </si>
  <si>
    <t>Originalité et profondeur des questions posées (questions qui démontrent une réflexion approfondie sur le sujet)</t>
  </si>
  <si>
    <t>Nom</t>
  </si>
  <si>
    <t>Classe:</t>
  </si>
  <si>
    <t>TEST</t>
  </si>
  <si>
    <t>test</t>
  </si>
  <si>
    <t>Collaboration avec le "client" (qualité des échanges, réactivité)</t>
  </si>
  <si>
    <t>Pertinence et justification des choix techniques : Adéquation des technologies, outils ou frameworks retenus par rapport aux besoins du projet, accompagnée d’une justification claire.</t>
  </si>
  <si>
    <t>Clarté et cohérence du plan de projet : Structuration logique des étapes clés (conception, développement, tests, déploiement) et leur alignement avec les objectifs globaux.</t>
  </si>
  <si>
    <t>Précision et organisation du calendrier de planification : Identification des tâches, estimation réaliste des durées et clarté des dates de début et de fin.</t>
  </si>
  <si>
    <t>Qualité et pertinence des schémas techniques ou de planification : Utilisation efficace de diagrammes ou outils visuels (Gantt, PERT, UML, etc.) pour expliciter les étapes et les dépendances.</t>
  </si>
  <si>
    <t>Identification et gestion des dépendances entre tâches : Cohérence dans la gestion des relations entre les différentes étapes du projet et anticipation des impacts.</t>
  </si>
  <si>
    <t>Évaluation des risques et gestion anticipée : Identification des principaux risques et pertinence des stratégies proposées pour les atténuer.</t>
  </si>
  <si>
    <t>Inclusion et pertinence des jalons clés (milestones) : Définition claire des étapes de validation importantes dans la progression du projet.</t>
  </si>
  <si>
    <t>Estimation réaliste des ressources nécessaires : Cohérence des ressources (temps, personnes, matériel) avec les objectifs fixés.</t>
  </si>
  <si>
    <t>Précision technique du livrable final : Évaluation de la qualité des configurations et des implémentations techniques, qu’il s’agisse de systèmes, réseaux ou d’applications logicielles. Cela inclut la conformité aux spécifications, le niveau de détail fourni, et la justesse des éléments livrés</t>
  </si>
  <si>
    <t>Pertinence et clarté des schémas techniques : Évaluation des diagrammes fournis (réseau, systèmes, architecture logicielle, UML), leur capacité à expliquer les solutions et à être utilisés comme référence technique.</t>
  </si>
  <si>
    <t>Organisation et structuration du document : Clarté et logique dans la structuration de la documentation (introduction, descriptions techniques, annexes), facilitant sa lecture et son utilisation par un technicien ou un ingénieur.</t>
  </si>
  <si>
    <t>Gestion de la sécurité et conformité : Justification des mesures de sécurité mises en place (systèmes, réseaux, applications) et respect des normes (RGPD, ISO 27001, etc.).</t>
  </si>
  <si>
    <t>Mise en œuvre de la scalabilité et de la performance : Documentation des stratégies permettant l’évolution et l’optimisation des systèmes ou logiciels livrés (auto-scaling, monitoring, gestion des ressources).</t>
  </si>
  <si>
    <t>Respect des délais et conformité avec les exigences initiales : Adéquation des livrables soumis avec le cahier des charges et les délais imposés.</t>
  </si>
  <si>
    <t>Gouvernance et vision d’évolution des systèmes : Inclusion d’une réflexion sur l’avenir de l’infrastructure ou des applications livrées, accompagnée d’une roadmap pour leur maintenance ou leur évolution.</t>
  </si>
  <si>
    <t>Qualité des tests techniques et pertinence des résultats documentés : Évaluation de la documentation des tests techniques (sécurité, résilience, performance) réalisés, avec des méthodologies claires, des résultats exploités pour valider les objectifs du projet, et des preuves de conformité aux attentes projetées. (DAT/DCT)</t>
  </si>
  <si>
    <t>NOM</t>
  </si>
  <si>
    <t>Réseaux &amp; Sécurité</t>
  </si>
  <si>
    <t>Administration des équipements utilisateurs</t>
  </si>
  <si>
    <t xml:space="preserve">Etudiant 3 </t>
  </si>
  <si>
    <t>Infrastructure informatique</t>
  </si>
  <si>
    <t>DevOps</t>
  </si>
  <si>
    <t>ETUDIANTS</t>
  </si>
  <si>
    <t>Groupe Projet</t>
  </si>
  <si>
    <t>*A compléter afin de récupérer la liste des étudiants dans les grilles</t>
  </si>
  <si>
    <t>*Indiquer le nom de classe</t>
  </si>
  <si>
    <t>1. Indiquer le nom de la classe</t>
  </si>
  <si>
    <t>2. Compléter la liste des étudiants</t>
  </si>
  <si>
    <r>
      <t xml:space="preserve">Aller plus loin que l'attendu </t>
    </r>
    <r>
      <rPr>
        <sz val="12"/>
        <color theme="1"/>
        <rFont val="Aptos Narrow"/>
        <family val="2"/>
        <scheme val="minor"/>
      </rPr>
      <t>(Ajustement de ±2 points : Intégration de fonctionnalités ou propositions supplémentaires dépassant les attentes initiales.)</t>
    </r>
  </si>
  <si>
    <t>Poids sur l’évaluation du bloc 1 « Piloter un Projet Informatique ».</t>
  </si>
  <si>
    <t>Poids sur l’évaluation du bloc 2 « Coordonner une équipe projet ».</t>
  </si>
  <si>
    <t>Poids sur l’évaluation du bloc 3 « Superviser la mise en œuvre d'un projet informatique ».</t>
  </si>
  <si>
    <t>Pertinence individuelle</t>
  </si>
  <si>
    <t xml:space="preserve">Premier rendu (BC1) : Rendez-vous de cadrage </t>
  </si>
  <si>
    <t>Deuxième rendu (BC1)   : Rendu de Cadrage</t>
  </si>
  <si>
    <t>Troisième rendu (BC 2) : Soutenance &amp; démo du projet - MVP</t>
  </si>
  <si>
    <t>Quatriéme rendu (BC 2) : Analyse de la dynamique du projet</t>
  </si>
  <si>
    <t>Cinquiéme rendu (BC 3) : Livrable final technique</t>
  </si>
  <si>
    <t>Premier rendu (BC1): Rendez-vous de cadrage</t>
  </si>
  <si>
    <t>Deuxième rendu (BC1) : Rendu de Cadrage</t>
  </si>
  <si>
    <t>Troisième rendu (BC2) : Soutenance &amp; démo du projet - MVP</t>
  </si>
  <si>
    <t>Quatriéme rendu (BC2) : Analyse de la dynamique du projet</t>
  </si>
  <si>
    <t>Cinquiéme rendu (BC3) : Livrable final technque</t>
  </si>
  <si>
    <t>Premier rendu (BC1) : Rendez-vous de cadrage</t>
  </si>
  <si>
    <t>RESULTAT PAR BLOC</t>
  </si>
  <si>
    <t>Mode d'emploi</t>
  </si>
  <si>
    <t xml:space="preserve">          Les notes seront répercutées sur les autres étudiants</t>
  </si>
  <si>
    <t>Dupliquer la feuille "GROUPE 1" en fonction du nombre de groupe</t>
  </si>
  <si>
    <t xml:space="preserve">          Compléter les notes de groupe pour  l'etudiant 1</t>
  </si>
  <si>
    <t>Compléter la colonne "point" en utilisant la liste déroulante</t>
  </si>
  <si>
    <t>Récapitualtif des résultats par bloc</t>
  </si>
  <si>
    <t>FEUILLE GROUPE</t>
  </si>
  <si>
    <t>FEUILLE RECAPITULATIF</t>
  </si>
  <si>
    <t>3. Dans la feuille RECAPITULATIF, reporter le résultat obtenu par bloc issu du tableau "récapitulatif des résultats par bloc" de la feuille GROUPE 1</t>
  </si>
  <si>
    <t>Répartition du travail - projet fil rouge de DEV (équipe de 4 étudiants)</t>
  </si>
  <si>
    <t>Répartition du travail - projet fil rouge SR (équipe de 3 étudiants)</t>
  </si>
  <si>
    <t>répartition des tickets entre les étudiants en nombre égal selon leur complexité</t>
  </si>
  <si>
    <t>COMPOSITION EQUIPE ET REPARTITION DU TRAVAIL</t>
  </si>
  <si>
    <t>Etudiant 1  (NOM / prénom)</t>
  </si>
  <si>
    <t>Etudiant 2 (NOM  prénom)</t>
  </si>
  <si>
    <t>Etudiant 3  (NOM  prénom)</t>
  </si>
  <si>
    <t>Etudiant 4  (NOM  prénom)</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</si>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</sst>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family val="2"/>
      <scheme val="minor"/>
    </font>
    <font>
      <b/>
      <sz val="12"/>
      <color theme="1"/>
      <name val="Aptos Narrow"/>
      <family val="2"/>
      <scheme val="minor"/>
    </font>
    <font>
      <b/>
      <sz val="10.5"/>
      <color theme="1"/>
      <name val="Roboto"/>
    </font>
    <font>
      <sz val="10.5"/>
      <color theme="1"/>
      <name val="Roboto"/>
    </font>
    <font>
      <i/>
      <sz val="16"/>
      <color theme="1"/>
      <name val="Roboto"/>
    </font>
    <font>
      <sz val="10.5"/>
      <name val="Roboto"/>
    </font>
    <font>
      <b/>
      <sz val="14"/>
      <color theme="1"/>
      <name val="Aptos Narrow"/>
      <family val="2"/>
      <scheme val="minor"/>
    </font>
    <font>
      <b/>
      <sz val="22"/>
      <color theme="1"/>
      <name val="Aptos Narrow"/>
      <family val="2"/>
      <scheme val="minor"/>
    </font>
    <font>
      <b/>
      <sz val="24"/>
      <color theme="1"/>
      <name val="Aptos Narrow"/>
      <family val="2"/>
      <scheme val="minor"/>
    </font>
    <font>
      <i/>
      <sz val="12"/>
      <color theme="1"/>
      <name val="Aptos Narrow"/>
      <family val="2"/>
      <scheme val="minor"/>
    </font>
    <font>
      <i/>
      <sz val="10.5"/>
      <color theme="1"/>
      <name val="Roboto"/>
    </font>
    <font>
      <b/>
      <sz val="12"/>
      <color theme="1"/>
      <name val="Roboto"/>
    </font>
    <font>
      <b/>
      <i/>
      <sz val="12"/>
      <color theme="1"/>
      <name val="Roboto"/>
    </font>
    <font>
      <b/>
      <sz val="20"/>
      <color theme="1"/>
      <name val="Aptos Narrow"/>
      <family val="2"/>
      <scheme val="minor"/>
    </font>
    <font>
      <sz val="16"/>
      <color theme="1"/>
      <name val="Aptos Narrow"/>
      <family val="2"/>
      <scheme val="minor"/>
    </font>
    <font>
      <b/>
      <sz val="16"/>
      <color theme="1"/>
      <name val="Var(--font-fk-grotesk)"/>
    </font>
    <font>
      <sz val="14"/>
      <color theme="1"/>
      <name val="Aptos Narrow"/>
      <family val="2"/>
      <scheme val="minor"/>
    </font>
  </fonts>
  <fills count="6">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93">
    <xf numFmtId="0" fontId="0" fillId="0" borderId="0" xfId="0"/>
    <xf numFmtId="0" fontId="3" fillId="0" borderId="10" xfId="0" applyFont="1" applyBorder="1"/>
    <xf numFmtId="0" fontId="3" fillId="0" borderId="12" xfId="0" applyFont="1" applyBorder="1"/>
    <xf numFmtId="0" fontId="3" fillId="3" borderId="1" xfId="0" applyFont="1" applyFill="1" applyBorder="1"/>
    <xf numFmtId="0" fontId="0" fillId="0" borderId="10" xfId="0" applyBorder="1"/>
    <xf numFmtId="0" fontId="2" fillId="0" borderId="0" xfId="0" applyFont="1"/>
    <xf numFmtId="0" fontId="1" fillId="0" borderId="0" xfId="0" applyFont="1"/>
    <xf numFmtId="0" fontId="0" fillId="0" borderId="12" xfId="0" applyBorder="1"/>
    <xf numFmtId="0" fontId="0" fillId="0" borderId="0" xfId="0" applyAlignment="1">
      <alignment horizontal="left"/>
    </xf>
    <xf numFmtId="0" fontId="1" fillId="0" borderId="14" xfId="0" applyFont="1" applyBorder="1"/>
    <xf numFmtId="0" fontId="0" fillId="0" borderId="15" xfId="0" applyBorder="1"/>
    <xf numFmtId="0" fontId="0" fillId="0" borderId="16" xfId="0" applyBorder="1"/>
    <xf numFmtId="0" fontId="0" fillId="0" borderId="17" xfId="0" applyBorder="1"/>
    <xf numFmtId="0" fontId="0" fillId="0" borderId="9" xfId="0" applyBorder="1"/>
    <xf numFmtId="0" fontId="0" fillId="0" borderId="1" xfId="0" applyBorder="1"/>
    <xf numFmtId="0" fontId="0" fillId="0" borderId="11" xfId="0" applyBorder="1"/>
    <xf numFmtId="0" fontId="0" fillId="0" borderId="13" xfId="0" applyBorder="1"/>
    <xf numFmtId="0" fontId="3" fillId="0" borderId="9" xfId="0" applyFont="1" applyBorder="1" applyAlignment="1">
      <alignment wrapText="1"/>
    </xf>
    <xf numFmtId="0" fontId="0" fillId="0" borderId="0" xfId="0" applyAlignment="1">
      <alignment horizontal="center" vertical="center"/>
    </xf>
    <xf numFmtId="0" fontId="3" fillId="0" borderId="0" xfId="0" applyFont="1" applyAlignment="1">
      <alignment horizontal="left"/>
    </xf>
    <xf numFmtId="0" fontId="3" fillId="0" borderId="0" xfId="0" applyFont="1" applyAlignment="1">
      <alignment horizontal="center" vertical="center"/>
    </xf>
    <xf numFmtId="0" fontId="0" fillId="0" borderId="6" xfId="0" applyBorder="1"/>
    <xf numFmtId="0" fontId="3" fillId="0" borderId="1" xfId="0" applyFont="1" applyBorder="1"/>
    <xf numFmtId="0" fontId="3" fillId="0" borderId="13" xfId="0" applyFont="1" applyBorder="1"/>
    <xf numFmtId="0" fontId="0" fillId="0" borderId="21" xfId="0" applyBorder="1"/>
    <xf numFmtId="0" fontId="1" fillId="4" borderId="6" xfId="0" applyFont="1" applyFill="1" applyBorder="1"/>
    <xf numFmtId="0" fontId="2" fillId="4" borderId="9" xfId="0" applyFont="1" applyFill="1" applyBorder="1"/>
    <xf numFmtId="0" fontId="2" fillId="4" borderId="11" xfId="0" applyFont="1" applyFill="1" applyBorder="1"/>
    <xf numFmtId="0" fontId="1" fillId="4" borderId="18" xfId="0" applyFont="1" applyFill="1" applyBorder="1" applyAlignment="1">
      <alignment horizontal="center" vertical="center"/>
    </xf>
    <xf numFmtId="0" fontId="1" fillId="4" borderId="19" xfId="0" applyFont="1" applyFill="1" applyBorder="1" applyAlignment="1">
      <alignment horizontal="center"/>
    </xf>
    <xf numFmtId="0" fontId="9" fillId="0" borderId="0" xfId="0" applyFont="1"/>
    <xf numFmtId="0" fontId="1" fillId="0" borderId="18" xfId="0" applyFont="1" applyBorder="1"/>
    <xf numFmtId="0" fontId="1" fillId="0" borderId="19" xfId="0" applyFont="1" applyBorder="1"/>
    <xf numFmtId="0" fontId="1" fillId="0" borderId="20" xfId="0" applyFont="1" applyBorder="1"/>
    <xf numFmtId="0" fontId="3" fillId="0" borderId="9" xfId="0" applyFont="1" applyBorder="1" applyAlignment="1">
      <alignment horizontal="left" wrapText="1"/>
    </xf>
    <xf numFmtId="0" fontId="3" fillId="3" borderId="0" xfId="0" applyFont="1" applyFill="1"/>
    <xf numFmtId="0" fontId="1" fillId="0" borderId="0" xfId="0" applyFont="1" applyAlignment="1">
      <alignment wrapText="1"/>
    </xf>
    <xf numFmtId="0" fontId="5" fillId="0" borderId="9" xfId="0" applyFont="1" applyBorder="1" applyAlignment="1">
      <alignment wrapText="1"/>
    </xf>
    <xf numFmtId="0" fontId="0" fillId="0" borderId="0" xfId="0" applyAlignment="1">
      <alignment wrapText="1"/>
    </xf>
    <xf numFmtId="0" fontId="1" fillId="0" borderId="9" xfId="0" applyFont="1" applyBorder="1" applyAlignment="1">
      <alignment wrapText="1"/>
    </xf>
    <xf numFmtId="0" fontId="11" fillId="0" borderId="9" xfId="0" applyFont="1" applyBorder="1" applyAlignment="1">
      <alignment wrapText="1"/>
    </xf>
    <xf numFmtId="0" fontId="12" fillId="0" borderId="11" xfId="0" applyFont="1" applyBorder="1" applyAlignment="1">
      <alignment wrapText="1"/>
    </xf>
    <xf numFmtId="0" fontId="2" fillId="0" borderId="9" xfId="0" applyFont="1" applyBorder="1" applyAlignment="1">
      <alignment wrapText="1"/>
    </xf>
    <xf numFmtId="0" fontId="2" fillId="0" borderId="10" xfId="0" applyFont="1" applyBorder="1"/>
    <xf numFmtId="0" fontId="4" fillId="0" borderId="5" xfId="0" applyFont="1" applyBorder="1" applyAlignment="1">
      <alignment wrapText="1"/>
    </xf>
    <xf numFmtId="0" fontId="0" fillId="0" borderId="0" xfId="0" applyAlignment="1">
      <alignment horizontal="center"/>
    </xf>
    <xf numFmtId="0" fontId="8" fillId="0" borderId="0" xfId="0" applyFont="1" applyAlignment="1">
      <alignment horizontal="left" wrapText="1"/>
    </xf>
    <xf numFmtId="0" fontId="7" fillId="0" borderId="5" xfId="0" applyFont="1" applyBorder="1" applyAlignment="1">
      <alignment horizontal="left" wrapText="1"/>
    </xf>
    <xf numFmtId="0" fontId="7" fillId="0" borderId="0" xfId="0" applyFont="1" applyAlignment="1">
      <alignment horizontal="left" wrapText="1"/>
    </xf>
    <xf numFmtId="0" fontId="7" fillId="0" borderId="0" xfId="0" applyFont="1" applyAlignment="1">
      <alignment horizontal="center" wrapText="1"/>
    </xf>
    <xf numFmtId="0" fontId="3" fillId="2" borderId="1" xfId="0" applyFont="1" applyFill="1" applyBorder="1" applyAlignment="1">
      <alignment horizontal="center"/>
    </xf>
    <xf numFmtId="0" fontId="3" fillId="3" borderId="1" xfId="0" applyFont="1" applyFill="1" applyBorder="1" applyAlignment="1">
      <alignment horizontal="center"/>
    </xf>
    <xf numFmtId="0" fontId="0" fillId="0" borderId="1" xfId="0" applyBorder="1" applyAlignment="1">
      <alignment horizontal="center"/>
    </xf>
    <xf numFmtId="10" fontId="0" fillId="0" borderId="13" xfId="0" applyNumberFormat="1" applyBorder="1" applyAlignment="1">
      <alignment horizontal="center"/>
    </xf>
    <xf numFmtId="0" fontId="2" fillId="0" borderId="1" xfId="0" applyFont="1" applyBorder="1" applyAlignment="1">
      <alignment horizontal="center"/>
    </xf>
    <xf numFmtId="0" fontId="3" fillId="0" borderId="0" xfId="0" applyFont="1" applyAlignment="1">
      <alignment horizontal="center"/>
    </xf>
    <xf numFmtId="0" fontId="3" fillId="4" borderId="1" xfId="0" applyFont="1" applyFill="1" applyBorder="1" applyAlignment="1">
      <alignment horizontal="center"/>
    </xf>
    <xf numFmtId="0" fontId="7" fillId="0" borderId="0" xfId="0" applyFont="1" applyAlignment="1">
      <alignment wrapText="1"/>
    </xf>
    <xf numFmtId="0" fontId="1" fillId="2" borderId="0" xfId="0" applyFont="1" applyFill="1"/>
    <xf numFmtId="0" fontId="10" fillId="0" borderId="0" xfId="0" applyFont="1"/>
    <xf numFmtId="0" fontId="3" fillId="0" borderId="0" xfId="0" applyFont="1"/>
    <xf numFmtId="0" fontId="1" fillId="2" borderId="1" xfId="0" applyFont="1" applyFill="1" applyBorder="1"/>
    <xf numFmtId="0" fontId="10" fillId="0" borderId="1" xfId="0" applyFont="1" applyBorder="1"/>
    <xf numFmtId="0" fontId="9" fillId="0" borderId="1" xfId="0" applyFont="1" applyBorder="1"/>
    <xf numFmtId="0" fontId="14" fillId="0" borderId="0" xfId="0" applyFont="1" applyAlignment="1">
      <alignment horizontal="left"/>
    </xf>
    <xf numFmtId="0" fontId="13" fillId="0" borderId="0" xfId="0" applyFont="1"/>
    <xf numFmtId="0" fontId="0" fillId="0" borderId="0" xfId="0" applyAlignment="1">
      <alignment horizontal="left" vertical="center"/>
    </xf>
    <xf numFmtId="0" fontId="1" fillId="4" borderId="20" xfId="0" applyFont="1" applyFill="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14" fillId="0" borderId="0" xfId="0" applyFont="1" applyAlignment="1">
      <alignment horizontal="center"/>
    </xf>
    <xf numFmtId="0" fontId="6" fillId="0" borderId="0" xfId="0" applyFont="1" applyAlignment="1">
      <alignment horizontal="left"/>
    </xf>
    <xf numFmtId="0" fontId="6" fillId="0" borderId="0" xfId="0" applyFont="1"/>
    <xf numFmtId="0" fontId="16" fillId="0" borderId="0" xfId="0" applyFont="1"/>
    <xf numFmtId="0" fontId="0" fillId="0" borderId="0" xfId="0" applyAlignment="1">
      <alignment horizontal="right"/>
    </xf>
    <xf numFmtId="0" fontId="1" fillId="0" borderId="0" xfId="0" applyFont="1" applyAlignment="1">
      <alignment horizontal="left" vertical="center"/>
    </xf>
    <xf numFmtId="0" fontId="6" fillId="0" borderId="0" xfId="0" applyFont="1" applyAlignment="1">
      <alignment horizontal="left"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9" fillId="0" borderId="0" xfId="0" applyFont="1" applyAlignment="1">
      <alignment horizontal="left"/>
    </xf>
    <xf numFmtId="0" fontId="15" fillId="5" borderId="6" xfId="0" applyFont="1" applyFill="1" applyBorder="1" applyAlignment="1">
      <alignment horizontal="left"/>
    </xf>
    <xf numFmtId="0" fontId="15" fillId="5" borderId="7" xfId="0" applyFont="1" applyFill="1" applyBorder="1" applyAlignment="1">
      <alignment horizontal="left"/>
    </xf>
    <xf numFmtId="0" fontId="15" fillId="5" borderId="8" xfId="0" applyFont="1" applyFill="1" applyBorder="1" applyAlignment="1">
      <alignment horizontal="left"/>
    </xf>
    <xf numFmtId="0" fontId="15" fillId="5" borderId="22" xfId="0" applyFont="1" applyFill="1" applyBorder="1" applyAlignment="1">
      <alignment horizontal="left"/>
    </xf>
    <xf numFmtId="0" fontId="15" fillId="5" borderId="23" xfId="0" applyFont="1" applyFill="1" applyBorder="1" applyAlignment="1">
      <alignment horizontal="left"/>
    </xf>
    <xf numFmtId="0" fontId="15" fillId="5" borderId="2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ffichage 1" id="{49EC76C3-20E9-4CD7-B421-00A84D040403}"/>
</namedSheetView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0AA10-A4F5-4598-A295-A9A1FFA97FCA}">
  <dimension ref="A1:B25"/>
  <sheetViews>
    <sheetView tabSelected="1" workbookViewId="0">
      <selection activeCell="A15" sqref="A15"/>
    </sheetView>
  </sheetViews>
  <sheetFormatPr baseColWidth="10" defaultRowHeight="15.75"/>
  <cols>
    <col min="1" max="1" width="40.5" customWidth="1"/>
  </cols>
  <sheetData>
    <row r="1" spans="1:2" ht="26.25">
      <c r="A1" s="65" t="s">
        <v>91</v>
      </c>
    </row>
    <row r="3" spans="1:2" s="79" customFormat="1" ht="18.75">
      <c r="A3" s="78" t="s">
        <v>98</v>
      </c>
    </row>
    <row r="4" spans="1:2">
      <c r="A4" t="s">
        <v>72</v>
      </c>
    </row>
    <row r="5" spans="1:2">
      <c r="A5" t="s">
        <v>73</v>
      </c>
    </row>
    <row r="6" spans="1:2">
      <c r="A6" t="s">
        <v>99</v>
      </c>
    </row>
    <row r="8" spans="1:2" s="79" customFormat="1" ht="18.75">
      <c r="A8" s="78" t="s">
        <v>97</v>
      </c>
    </row>
    <row r="9" spans="1:2">
      <c r="A9" t="s">
        <v>93</v>
      </c>
    </row>
    <row r="10" spans="1:2">
      <c r="A10" t="s">
        <v>95</v>
      </c>
    </row>
    <row r="11" spans="1:2">
      <c r="A11" s="80" t="s">
        <v>13</v>
      </c>
      <c r="B11" s="58"/>
    </row>
    <row r="12" spans="1:2">
      <c r="A12" s="80" t="s">
        <v>14</v>
      </c>
      <c r="B12" s="35"/>
    </row>
    <row r="13" spans="1:2" ht="15" customHeight="1">
      <c r="A13" s="38" t="s">
        <v>13</v>
      </c>
    </row>
    <row r="14" spans="1:2">
      <c r="A14" s="66" t="s">
        <v>94</v>
      </c>
    </row>
    <row r="15" spans="1:2">
      <c r="A15" s="66" t="s">
        <v>92</v>
      </c>
    </row>
    <row r="16" spans="1:2">
      <c r="A16" s="66"/>
    </row>
    <row r="17" spans="1:2" s="78" customFormat="1" ht="18.75">
      <c r="A17" s="82" t="s">
        <v>103</v>
      </c>
    </row>
    <row r="18" spans="1:2">
      <c r="A18" s="81" t="s">
        <v>100</v>
      </c>
      <c r="B18" s="6"/>
    </row>
    <row r="19" spans="1:2">
      <c r="A19" t="s">
        <v>32</v>
      </c>
      <c r="B19" t="s">
        <v>63</v>
      </c>
    </row>
    <row r="20" spans="1:2">
      <c r="A20" t="s">
        <v>33</v>
      </c>
      <c r="B20" t="s">
        <v>64</v>
      </c>
    </row>
    <row r="21" spans="1:2">
      <c r="A21" t="s">
        <v>65</v>
      </c>
      <c r="B21" t="s">
        <v>66</v>
      </c>
    </row>
    <row r="22" spans="1:2">
      <c r="A22" t="s">
        <v>35</v>
      </c>
      <c r="B22" t="s">
        <v>67</v>
      </c>
    </row>
    <row r="24" spans="1:2">
      <c r="A24" s="81" t="s">
        <v>101</v>
      </c>
    </row>
    <row r="25" spans="1:2">
      <c r="A25" t="s">
        <v>102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70CE-BF31-48DF-9F56-73E21C56B338}">
  <sheetPr codeName="Feuil1"/>
  <dimension ref="B1:G32"/>
  <sheetViews>
    <sheetView showGridLines="0" workbookViewId="0">
      <selection activeCell="D37" sqref="D37"/>
    </sheetView>
  </sheetViews>
  <sheetFormatPr baseColWidth="10" defaultRowHeight="15.75"/>
  <cols>
    <col min="1" max="1" width="0.75" customWidth="1"/>
    <col min="2" max="2" width="16.25" customWidth="1"/>
    <col min="3" max="3" width="18.25" customWidth="1"/>
    <col min="4" max="4" width="20.25" customWidth="1"/>
    <col min="7" max="7" width="12.75" customWidth="1"/>
  </cols>
  <sheetData>
    <row r="1" spans="2:7" ht="3" customHeight="1"/>
    <row r="2" spans="2:7" ht="16.5" customHeight="1">
      <c r="B2" s="6" t="s">
        <v>42</v>
      </c>
      <c r="C2" s="30" t="s">
        <v>71</v>
      </c>
    </row>
    <row r="3" spans="2:7" ht="16.5" thickBot="1">
      <c r="B3" s="86" t="s">
        <v>70</v>
      </c>
      <c r="C3" s="86"/>
      <c r="D3" s="86"/>
      <c r="E3" s="86"/>
    </row>
    <row r="4" spans="2:7" ht="16.5" thickBot="1">
      <c r="B4" s="83" t="s">
        <v>68</v>
      </c>
      <c r="C4" s="84"/>
      <c r="D4" s="85"/>
      <c r="E4" s="84" t="s">
        <v>90</v>
      </c>
      <c r="F4" s="84"/>
      <c r="G4" s="85"/>
    </row>
    <row r="5" spans="2:7" ht="16.5" thickBot="1">
      <c r="B5" s="31" t="s">
        <v>69</v>
      </c>
      <c r="C5" s="32" t="s">
        <v>41</v>
      </c>
      <c r="D5" s="33" t="s">
        <v>36</v>
      </c>
      <c r="E5" s="31" t="s">
        <v>28</v>
      </c>
      <c r="F5" s="32" t="s">
        <v>30</v>
      </c>
      <c r="G5" s="33" t="s">
        <v>31</v>
      </c>
    </row>
    <row r="6" spans="2:7">
      <c r="B6" s="10"/>
      <c r="C6" s="11"/>
      <c r="D6" s="12"/>
      <c r="E6" s="10"/>
      <c r="F6" s="11"/>
      <c r="G6" s="12"/>
    </row>
    <row r="7" spans="2:7">
      <c r="B7" s="13"/>
      <c r="C7" s="14"/>
      <c r="D7" s="4"/>
      <c r="E7" s="13"/>
      <c r="F7" s="14"/>
      <c r="G7" s="4"/>
    </row>
    <row r="8" spans="2:7">
      <c r="B8" s="13"/>
      <c r="C8" s="14"/>
      <c r="D8" s="4"/>
      <c r="E8" s="13"/>
      <c r="F8" s="14"/>
      <c r="G8" s="4"/>
    </row>
    <row r="9" spans="2:7">
      <c r="B9" s="13"/>
      <c r="C9" s="14"/>
      <c r="D9" s="4"/>
      <c r="E9" s="13"/>
      <c r="F9" s="14"/>
      <c r="G9" s="4"/>
    </row>
    <row r="10" spans="2:7">
      <c r="B10" s="13"/>
      <c r="C10" s="14"/>
      <c r="D10" s="4"/>
      <c r="E10" s="13"/>
      <c r="F10" s="14"/>
      <c r="G10" s="4"/>
    </row>
    <row r="11" spans="2:7">
      <c r="B11" s="13"/>
      <c r="C11" s="14"/>
      <c r="D11" s="4"/>
      <c r="E11" s="13"/>
      <c r="F11" s="14"/>
      <c r="G11" s="4"/>
    </row>
    <row r="12" spans="2:7">
      <c r="B12" s="13"/>
      <c r="C12" s="14"/>
      <c r="D12" s="4"/>
      <c r="E12" s="13"/>
      <c r="F12" s="14"/>
      <c r="G12" s="4"/>
    </row>
    <row r="13" spans="2:7">
      <c r="B13" s="13"/>
      <c r="C13" s="14"/>
      <c r="D13" s="4"/>
      <c r="E13" s="13"/>
      <c r="F13" s="14"/>
      <c r="G13" s="4"/>
    </row>
    <row r="14" spans="2:7">
      <c r="B14" s="13"/>
      <c r="C14" s="14"/>
      <c r="D14" s="4"/>
      <c r="E14" s="13"/>
      <c r="F14" s="14"/>
      <c r="G14" s="4"/>
    </row>
    <row r="15" spans="2:7">
      <c r="B15" s="13"/>
      <c r="C15" s="14"/>
      <c r="D15" s="4"/>
      <c r="E15" s="13"/>
      <c r="F15" s="14"/>
      <c r="G15" s="4"/>
    </row>
    <row r="16" spans="2:7">
      <c r="B16" s="13"/>
      <c r="C16" s="14"/>
      <c r="D16" s="4"/>
      <c r="E16" s="13"/>
      <c r="F16" s="14"/>
      <c r="G16" s="4"/>
    </row>
    <row r="17" spans="2:7">
      <c r="B17" s="13"/>
      <c r="C17" s="14"/>
      <c r="D17" s="4"/>
      <c r="E17" s="13"/>
      <c r="F17" s="14"/>
      <c r="G17" s="4"/>
    </row>
    <row r="18" spans="2:7">
      <c r="B18" s="13"/>
      <c r="C18" s="14"/>
      <c r="D18" s="4"/>
      <c r="E18" s="13"/>
      <c r="F18" s="14"/>
      <c r="G18" s="4"/>
    </row>
    <row r="19" spans="2:7">
      <c r="B19" s="13"/>
      <c r="C19" s="14"/>
      <c r="D19" s="4"/>
      <c r="E19" s="13"/>
      <c r="F19" s="14"/>
      <c r="G19" s="4"/>
    </row>
    <row r="20" spans="2:7">
      <c r="B20" s="13"/>
      <c r="C20" s="14"/>
      <c r="D20" s="4"/>
      <c r="E20" s="13"/>
      <c r="F20" s="14"/>
      <c r="G20" s="4"/>
    </row>
    <row r="21" spans="2:7">
      <c r="B21" s="13"/>
      <c r="C21" s="14"/>
      <c r="D21" s="4"/>
      <c r="E21" s="13"/>
      <c r="F21" s="14"/>
      <c r="G21" s="4"/>
    </row>
    <row r="22" spans="2:7">
      <c r="B22" s="13"/>
      <c r="C22" s="14"/>
      <c r="D22" s="4"/>
      <c r="E22" s="13"/>
      <c r="F22" s="14"/>
      <c r="G22" s="4"/>
    </row>
    <row r="23" spans="2:7">
      <c r="B23" s="13"/>
      <c r="C23" s="14"/>
      <c r="D23" s="4"/>
      <c r="E23" s="13"/>
      <c r="F23" s="14"/>
      <c r="G23" s="4"/>
    </row>
    <row r="24" spans="2:7">
      <c r="B24" s="13"/>
      <c r="C24" s="14"/>
      <c r="D24" s="4"/>
      <c r="E24" s="13"/>
      <c r="F24" s="14"/>
      <c r="G24" s="4"/>
    </row>
    <row r="25" spans="2:7">
      <c r="B25" s="13"/>
      <c r="C25" s="14"/>
      <c r="D25" s="4"/>
      <c r="E25" s="13"/>
      <c r="F25" s="14"/>
      <c r="G25" s="4"/>
    </row>
    <row r="26" spans="2:7">
      <c r="B26" s="13"/>
      <c r="C26" s="14"/>
      <c r="D26" s="4"/>
      <c r="E26" s="13"/>
      <c r="F26" s="14"/>
      <c r="G26" s="4"/>
    </row>
    <row r="27" spans="2:7">
      <c r="B27" s="13"/>
      <c r="C27" s="14"/>
      <c r="D27" s="4"/>
      <c r="E27" s="13"/>
      <c r="F27" s="14"/>
      <c r="G27" s="4"/>
    </row>
    <row r="28" spans="2:7">
      <c r="B28" s="13"/>
      <c r="C28" s="14"/>
      <c r="D28" s="4"/>
      <c r="E28" s="13"/>
      <c r="F28" s="14"/>
      <c r="G28" s="4"/>
    </row>
    <row r="29" spans="2:7">
      <c r="B29" s="13"/>
      <c r="C29" s="14"/>
      <c r="D29" s="4"/>
      <c r="E29" s="13"/>
      <c r="F29" s="14"/>
      <c r="G29" s="4"/>
    </row>
    <row r="30" spans="2:7">
      <c r="B30" s="13"/>
      <c r="C30" s="14"/>
      <c r="D30" s="4"/>
      <c r="E30" s="13"/>
      <c r="F30" s="14"/>
      <c r="G30" s="4"/>
    </row>
    <row r="31" spans="2:7">
      <c r="B31" s="13"/>
      <c r="C31" s="14"/>
      <c r="D31" s="4"/>
      <c r="E31" s="13"/>
      <c r="F31" s="14"/>
      <c r="G31" s="4"/>
    </row>
    <row r="32" spans="2:7" ht="16.5" thickBot="1">
      <c r="B32" s="15"/>
      <c r="C32" s="16"/>
      <c r="D32" s="7"/>
      <c r="E32" s="15"/>
      <c r="F32" s="16"/>
      <c r="G32" s="7"/>
    </row>
  </sheetData>
  <mergeCells count="3">
    <mergeCell ref="B4:D4"/>
    <mergeCell ref="E4:G4"/>
    <mergeCell ref="B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C476-0CD0-CE4C-80A2-8FBAD1A9C73A}">
  <sheetPr codeName="Feuil2">
    <pageSetUpPr fitToPage="1"/>
  </sheetPr>
  <dimension ref="A1:J262"/>
  <sheetViews>
    <sheetView topLeftCell="A184" zoomScale="85" zoomScaleNormal="85" workbookViewId="0">
      <selection activeCell="I198" sqref="I198"/>
    </sheetView>
  </sheetViews>
  <sheetFormatPr baseColWidth="10" defaultColWidth="11" defaultRowHeight="15.75"/>
  <cols>
    <col min="1" max="1" width="100.75" style="38" customWidth="1"/>
    <col min="2" max="2" width="11" style="45"/>
    <col min="3" max="3" width="55.75" customWidth="1"/>
    <col min="4" max="4" width="2.25" customWidth="1"/>
    <col min="5" max="5" width="10.25" customWidth="1"/>
    <col min="6" max="6" width="11.75" customWidth="1"/>
    <col min="7" max="7" width="14.25" customWidth="1"/>
    <col min="8" max="10" width="11" style="45"/>
  </cols>
  <sheetData>
    <row r="1" spans="1:10" ht="28.5">
      <c r="A1" s="57" t="s">
        <v>19</v>
      </c>
      <c r="E1" s="6"/>
      <c r="F1" s="59"/>
    </row>
    <row r="2" spans="1:10" ht="18" customHeight="1">
      <c r="A2" s="57"/>
      <c r="B2" s="61"/>
      <c r="C2" s="62" t="s">
        <v>13</v>
      </c>
      <c r="E2" s="6"/>
      <c r="F2" s="59"/>
    </row>
    <row r="3" spans="1:10" ht="18" customHeight="1">
      <c r="A3" s="36"/>
      <c r="B3" s="3"/>
      <c r="C3" s="63" t="s">
        <v>14</v>
      </c>
      <c r="E3" s="60"/>
      <c r="F3" s="30"/>
    </row>
    <row r="4" spans="1:10" ht="32.25" thickBot="1">
      <c r="A4" s="46" t="s">
        <v>104</v>
      </c>
    </row>
    <row r="5" spans="1:10" s="8" customFormat="1" ht="21" thickBot="1">
      <c r="A5" s="87" t="s">
        <v>79</v>
      </c>
      <c r="B5" s="88"/>
      <c r="C5" s="89"/>
      <c r="E5" s="77" t="s">
        <v>96</v>
      </c>
      <c r="H5" s="45"/>
      <c r="I5" s="45"/>
      <c r="J5" s="45"/>
    </row>
    <row r="6" spans="1:10" ht="16.5" thickBot="1">
      <c r="A6" s="42" t="s">
        <v>0</v>
      </c>
      <c r="B6" s="54" t="s">
        <v>1</v>
      </c>
      <c r="C6" s="43" t="s">
        <v>2</v>
      </c>
      <c r="E6" s="9"/>
      <c r="F6" s="28" t="s">
        <v>62</v>
      </c>
      <c r="G6" s="29" t="s">
        <v>36</v>
      </c>
      <c r="H6" s="28" t="s">
        <v>28</v>
      </c>
      <c r="I6" s="29" t="s">
        <v>30</v>
      </c>
      <c r="J6" s="67" t="s">
        <v>31</v>
      </c>
    </row>
    <row r="7" spans="1:10">
      <c r="A7" s="17" t="s">
        <v>15</v>
      </c>
      <c r="B7" s="50">
        <v>10</v>
      </c>
      <c r="C7" s="1"/>
      <c r="E7" s="25" t="s">
        <v>32</v>
      </c>
      <c r="F7" s="21" t="s">
        <v>43</v>
      </c>
      <c r="G7" s="24" t="s">
        <v>36</v>
      </c>
      <c r="H7" s="68">
        <f>((((B16*B17)+(B29*B30))*2)*20)/100</f>
        <v>20</v>
      </c>
      <c r="I7" s="69">
        <f>((((B43*B44)+(B53*B54))*2)*20)/100</f>
        <v>20</v>
      </c>
      <c r="J7" s="70">
        <f>((B66*20)/50)</f>
        <v>20</v>
      </c>
    </row>
    <row r="8" spans="1:10">
      <c r="A8" s="17" t="s">
        <v>3</v>
      </c>
      <c r="B8" s="50">
        <v>9</v>
      </c>
      <c r="C8" s="1"/>
      <c r="D8" t="s">
        <v>29</v>
      </c>
      <c r="E8" s="26" t="s">
        <v>33</v>
      </c>
      <c r="F8" s="22" t="s">
        <v>43</v>
      </c>
      <c r="G8" s="1" t="s">
        <v>44</v>
      </c>
      <c r="H8" s="71">
        <f>((((B81*B82)+(B94*B95))*2)*20)/100</f>
        <v>20</v>
      </c>
      <c r="I8" s="52">
        <f>((((B108*B109)+(B118*B119))*2)*20)/100</f>
        <v>20</v>
      </c>
      <c r="J8" s="72">
        <f>((B131*20)/50)</f>
        <v>20</v>
      </c>
    </row>
    <row r="9" spans="1:10">
      <c r="A9" s="37" t="s">
        <v>16</v>
      </c>
      <c r="B9" s="50">
        <v>9</v>
      </c>
      <c r="C9" s="1"/>
      <c r="E9" s="26" t="s">
        <v>34</v>
      </c>
      <c r="F9" s="22" t="s">
        <v>43</v>
      </c>
      <c r="G9" s="1" t="s">
        <v>36</v>
      </c>
      <c r="H9" s="71">
        <f>((((B146*B147)+(B159*B160))*2)*20)/100</f>
        <v>20</v>
      </c>
      <c r="I9" s="52">
        <f>((((B173*B174)+(B183*B184))*2)*20)/100</f>
        <v>20</v>
      </c>
      <c r="J9" s="72">
        <f>((B196*20)/50)</f>
        <v>20</v>
      </c>
    </row>
    <row r="10" spans="1:10" ht="16.5" thickBot="1">
      <c r="A10" s="17" t="s">
        <v>4</v>
      </c>
      <c r="B10" s="50">
        <v>5</v>
      </c>
      <c r="C10" s="1"/>
      <c r="E10" s="27" t="s">
        <v>35</v>
      </c>
      <c r="F10" s="23" t="s">
        <v>43</v>
      </c>
      <c r="G10" s="2" t="s">
        <v>36</v>
      </c>
      <c r="H10" s="73">
        <f>((((B211*B212)+(B224*B225))*2)*20)/100</f>
        <v>20</v>
      </c>
      <c r="I10" s="74">
        <f>((((B238*B239)+(B248*B249))*2)*20)/100</f>
        <v>20</v>
      </c>
      <c r="J10" s="75">
        <f>((B261*20)/50)</f>
        <v>20</v>
      </c>
    </row>
    <row r="11" spans="1:10">
      <c r="A11" s="17" t="s">
        <v>45</v>
      </c>
      <c r="B11" s="50">
        <v>5</v>
      </c>
      <c r="C11" s="1"/>
    </row>
    <row r="12" spans="1:10">
      <c r="A12" s="37" t="s">
        <v>17</v>
      </c>
      <c r="B12" s="50">
        <v>4</v>
      </c>
      <c r="C12" s="1"/>
    </row>
    <row r="13" spans="1:10">
      <c r="A13" s="17" t="s">
        <v>6</v>
      </c>
      <c r="B13" s="50">
        <v>3</v>
      </c>
      <c r="C13" s="1"/>
    </row>
    <row r="14" spans="1:10">
      <c r="A14" s="17" t="s">
        <v>7</v>
      </c>
      <c r="B14" s="50">
        <v>2</v>
      </c>
      <c r="C14" s="1"/>
    </row>
    <row r="15" spans="1:10">
      <c r="A15" s="17" t="s">
        <v>78</v>
      </c>
      <c r="B15" s="51">
        <v>3</v>
      </c>
      <c r="C15" s="1"/>
    </row>
    <row r="16" spans="1:10">
      <c r="A16" s="40" t="s">
        <v>8</v>
      </c>
      <c r="B16" s="52">
        <f>SUM(B7:B15)</f>
        <v>50</v>
      </c>
      <c r="C16" s="4"/>
    </row>
    <row r="17" spans="1:10" ht="16.5" thickBot="1">
      <c r="A17" s="41" t="s">
        <v>75</v>
      </c>
      <c r="B17" s="53">
        <v>0.2</v>
      </c>
      <c r="C17" s="7"/>
    </row>
    <row r="18" spans="1:10" ht="19.899999999999999" customHeight="1" thickBot="1"/>
    <row r="19" spans="1:10" s="8" customFormat="1" ht="20.25">
      <c r="A19" s="87" t="s">
        <v>80</v>
      </c>
      <c r="B19" s="88"/>
      <c r="C19" s="89"/>
      <c r="H19" s="45"/>
      <c r="I19" s="45"/>
      <c r="J19" s="45"/>
    </row>
    <row r="20" spans="1:10">
      <c r="A20" s="42" t="s">
        <v>0</v>
      </c>
      <c r="B20" s="54" t="s">
        <v>1</v>
      </c>
      <c r="C20" s="43" t="s">
        <v>2</v>
      </c>
    </row>
    <row r="21" spans="1:10" ht="28.5">
      <c r="A21" s="17" t="s">
        <v>46</v>
      </c>
      <c r="B21" s="50">
        <v>10</v>
      </c>
      <c r="C21" s="1"/>
    </row>
    <row r="22" spans="1:10" ht="28.5">
      <c r="A22" s="17" t="s">
        <v>47</v>
      </c>
      <c r="B22" s="50">
        <v>10</v>
      </c>
      <c r="C22" s="1"/>
    </row>
    <row r="23" spans="1:10" ht="28.5">
      <c r="A23" s="17" t="s">
        <v>48</v>
      </c>
      <c r="B23" s="50">
        <v>10</v>
      </c>
      <c r="C23" s="1"/>
    </row>
    <row r="24" spans="1:10" ht="28.5">
      <c r="A24" s="17" t="s">
        <v>49</v>
      </c>
      <c r="B24" s="50">
        <v>5</v>
      </c>
      <c r="C24" s="1"/>
    </row>
    <row r="25" spans="1:10" ht="28.5">
      <c r="A25" s="17" t="s">
        <v>50</v>
      </c>
      <c r="B25" s="50">
        <v>5</v>
      </c>
      <c r="C25" s="1"/>
    </row>
    <row r="26" spans="1:10" ht="28.5">
      <c r="A26" s="17" t="s">
        <v>51</v>
      </c>
      <c r="B26" s="50">
        <v>5</v>
      </c>
      <c r="C26" s="1"/>
    </row>
    <row r="27" spans="1:10" ht="28.5">
      <c r="A27" s="17" t="s">
        <v>52</v>
      </c>
      <c r="B27" s="50">
        <v>3</v>
      </c>
      <c r="C27" s="1"/>
    </row>
    <row r="28" spans="1:10" ht="28.5">
      <c r="A28" s="17" t="s">
        <v>53</v>
      </c>
      <c r="B28" s="50">
        <v>2</v>
      </c>
      <c r="C28" s="1"/>
    </row>
    <row r="29" spans="1:10">
      <c r="A29" s="40" t="s">
        <v>8</v>
      </c>
      <c r="B29" s="52">
        <f>SUM(B21:B28)</f>
        <v>50</v>
      </c>
      <c r="C29" s="4"/>
    </row>
    <row r="30" spans="1:10" ht="16.5" thickBot="1">
      <c r="A30" s="41" t="s">
        <v>75</v>
      </c>
      <c r="B30" s="53">
        <v>0.8</v>
      </c>
      <c r="C30" s="7"/>
    </row>
    <row r="31" spans="1:10" ht="19.899999999999999" customHeight="1" thickBot="1"/>
    <row r="32" spans="1:10" s="8" customFormat="1" ht="20.25">
      <c r="A32" s="87" t="s">
        <v>81</v>
      </c>
      <c r="B32" s="88"/>
      <c r="C32" s="89"/>
      <c r="H32" s="45"/>
      <c r="I32" s="45"/>
      <c r="J32" s="45"/>
    </row>
    <row r="33" spans="1:10">
      <c r="A33" s="42" t="s">
        <v>0</v>
      </c>
      <c r="B33" s="54" t="s">
        <v>1</v>
      </c>
      <c r="C33" s="43" t="s">
        <v>2</v>
      </c>
    </row>
    <row r="34" spans="1:10">
      <c r="A34" s="17" t="s">
        <v>20</v>
      </c>
      <c r="B34" s="50">
        <v>10</v>
      </c>
      <c r="C34" s="1"/>
    </row>
    <row r="35" spans="1:10" ht="28.5">
      <c r="A35" s="17" t="s">
        <v>21</v>
      </c>
      <c r="B35" s="50">
        <v>10</v>
      </c>
      <c r="C35" s="1"/>
    </row>
    <row r="36" spans="1:10" ht="28.5">
      <c r="A36" s="17" t="s">
        <v>22</v>
      </c>
      <c r="B36" s="50">
        <v>10</v>
      </c>
      <c r="C36" s="1"/>
    </row>
    <row r="37" spans="1:10">
      <c r="A37" s="37" t="s">
        <v>23</v>
      </c>
      <c r="B37" s="50">
        <v>5</v>
      </c>
      <c r="C37" s="1"/>
    </row>
    <row r="38" spans="1:10">
      <c r="A38" s="17" t="s">
        <v>24</v>
      </c>
      <c r="B38" s="50">
        <v>5</v>
      </c>
      <c r="C38" s="1"/>
    </row>
    <row r="39" spans="1:10" ht="28.5">
      <c r="A39" s="17" t="s">
        <v>25</v>
      </c>
      <c r="B39" s="50">
        <v>5</v>
      </c>
      <c r="C39" s="1"/>
    </row>
    <row r="40" spans="1:10" ht="28.5">
      <c r="A40" s="17" t="s">
        <v>26</v>
      </c>
      <c r="B40" s="50">
        <v>5</v>
      </c>
      <c r="C40" s="1"/>
    </row>
    <row r="41" spans="1:10" ht="31.5">
      <c r="A41" s="39" t="s">
        <v>74</v>
      </c>
      <c r="B41" s="51">
        <v>0</v>
      </c>
      <c r="C41" s="1"/>
    </row>
    <row r="42" spans="1:10" ht="31.5">
      <c r="A42" s="39" t="s">
        <v>27</v>
      </c>
      <c r="B42" s="51">
        <v>0</v>
      </c>
      <c r="C42" s="1"/>
    </row>
    <row r="43" spans="1:10">
      <c r="A43" s="40" t="s">
        <v>8</v>
      </c>
      <c r="B43" s="52">
        <f>SUM(B33:B42)</f>
        <v>50</v>
      </c>
      <c r="C43" s="4"/>
    </row>
    <row r="44" spans="1:10" ht="16.5" thickBot="1">
      <c r="A44" s="41" t="s">
        <v>76</v>
      </c>
      <c r="B44" s="53">
        <v>0.8</v>
      </c>
      <c r="C44" s="7"/>
    </row>
    <row r="45" spans="1:10" ht="19.899999999999999" customHeight="1" thickBot="1">
      <c r="A45" s="44"/>
    </row>
    <row r="46" spans="1:10" s="64" customFormat="1" ht="21">
      <c r="A46" s="87" t="s">
        <v>82</v>
      </c>
      <c r="B46" s="88"/>
      <c r="C46" s="89"/>
      <c r="H46" s="76"/>
      <c r="I46" s="76"/>
      <c r="J46" s="76"/>
    </row>
    <row r="47" spans="1:10">
      <c r="A47" s="42" t="s">
        <v>0</v>
      </c>
      <c r="B47" s="54" t="s">
        <v>1</v>
      </c>
      <c r="C47" s="43" t="s">
        <v>2</v>
      </c>
    </row>
    <row r="48" spans="1:10">
      <c r="A48" s="17" t="s">
        <v>9</v>
      </c>
      <c r="B48" s="51">
        <v>10</v>
      </c>
      <c r="C48" s="4"/>
    </row>
    <row r="49" spans="1:3">
      <c r="A49" s="17" t="s">
        <v>10</v>
      </c>
      <c r="B49" s="51">
        <v>10</v>
      </c>
      <c r="C49" s="4"/>
    </row>
    <row r="50" spans="1:3">
      <c r="A50" s="17" t="s">
        <v>11</v>
      </c>
      <c r="B50" s="51">
        <v>10</v>
      </c>
      <c r="C50" s="4"/>
    </row>
    <row r="51" spans="1:3">
      <c r="A51" s="17" t="s">
        <v>12</v>
      </c>
      <c r="B51" s="51">
        <v>10</v>
      </c>
      <c r="C51" s="4"/>
    </row>
    <row r="52" spans="1:3">
      <c r="A52" s="17" t="s">
        <v>18</v>
      </c>
      <c r="B52" s="51">
        <v>10</v>
      </c>
      <c r="C52" s="4"/>
    </row>
    <row r="53" spans="1:3">
      <c r="A53" s="40" t="s">
        <v>8</v>
      </c>
      <c r="B53" s="52">
        <f>SUM(B48:B52)</f>
        <v>50</v>
      </c>
      <c r="C53" s="4"/>
    </row>
    <row r="54" spans="1:3" ht="16.5" thickBot="1">
      <c r="A54" s="41" t="s">
        <v>76</v>
      </c>
      <c r="B54" s="53">
        <v>0.2</v>
      </c>
      <c r="C54" s="7"/>
    </row>
    <row r="55" spans="1:3" ht="16.5" thickBot="1"/>
    <row r="56" spans="1:3" ht="20.25">
      <c r="A56" s="87" t="s">
        <v>83</v>
      </c>
      <c r="B56" s="88"/>
      <c r="C56" s="89"/>
    </row>
    <row r="57" spans="1:3">
      <c r="A57" s="42" t="s">
        <v>0</v>
      </c>
      <c r="B57" s="54" t="s">
        <v>1</v>
      </c>
      <c r="C57" s="43" t="s">
        <v>2</v>
      </c>
    </row>
    <row r="58" spans="1:3" ht="42.75">
      <c r="A58" s="17" t="s">
        <v>54</v>
      </c>
      <c r="B58" s="51">
        <v>10</v>
      </c>
      <c r="C58" s="4"/>
    </row>
    <row r="59" spans="1:3" ht="28.5">
      <c r="A59" s="17" t="s">
        <v>55</v>
      </c>
      <c r="B59" s="51">
        <v>10</v>
      </c>
      <c r="C59" s="4"/>
    </row>
    <row r="60" spans="1:3" ht="42.75">
      <c r="A60" s="17" t="s">
        <v>61</v>
      </c>
      <c r="B60" s="51">
        <v>10</v>
      </c>
      <c r="C60" s="1"/>
    </row>
    <row r="61" spans="1:3" ht="28.5">
      <c r="A61" s="17" t="s">
        <v>56</v>
      </c>
      <c r="B61" s="51">
        <v>5</v>
      </c>
      <c r="C61" s="1"/>
    </row>
    <row r="62" spans="1:3" ht="28.5">
      <c r="A62" s="17" t="s">
        <v>57</v>
      </c>
      <c r="B62" s="51">
        <v>5</v>
      </c>
      <c r="C62" s="1"/>
    </row>
    <row r="63" spans="1:3" ht="28.5">
      <c r="A63" s="17" t="s">
        <v>58</v>
      </c>
      <c r="B63" s="51">
        <v>5</v>
      </c>
      <c r="C63" s="1"/>
    </row>
    <row r="64" spans="1:3" ht="28.5">
      <c r="A64" s="17" t="s">
        <v>59</v>
      </c>
      <c r="B64" s="51">
        <v>3</v>
      </c>
      <c r="C64" s="1"/>
    </row>
    <row r="65" spans="1:8" ht="28.5">
      <c r="A65" s="17" t="s">
        <v>60</v>
      </c>
      <c r="B65" s="51">
        <v>2</v>
      </c>
      <c r="C65" s="1"/>
    </row>
    <row r="66" spans="1:8">
      <c r="A66" s="40" t="s">
        <v>8</v>
      </c>
      <c r="B66" s="52">
        <f>SUM(B58:B65)</f>
        <v>50</v>
      </c>
      <c r="C66" s="4"/>
    </row>
    <row r="67" spans="1:8" ht="16.5" thickBot="1">
      <c r="A67" s="41" t="s">
        <v>77</v>
      </c>
      <c r="B67" s="53">
        <v>1</v>
      </c>
      <c r="C67" s="7"/>
    </row>
    <row r="68" spans="1:8" ht="19.899999999999999" customHeight="1">
      <c r="B68" s="55"/>
      <c r="C68" s="6"/>
    </row>
    <row r="69" spans="1:8" ht="29.25" thickBot="1">
      <c r="A69" s="47" t="s">
        <v>105</v>
      </c>
      <c r="B69" s="49"/>
      <c r="C69" s="48"/>
    </row>
    <row r="70" spans="1:8" ht="20.25">
      <c r="A70" s="87" t="s">
        <v>84</v>
      </c>
      <c r="B70" s="88"/>
      <c r="C70" s="89"/>
    </row>
    <row r="71" spans="1:8">
      <c r="A71" s="42" t="s">
        <v>0</v>
      </c>
      <c r="B71" s="54" t="s">
        <v>1</v>
      </c>
      <c r="C71" s="43" t="s">
        <v>2</v>
      </c>
      <c r="E71" s="6"/>
      <c r="F71" s="8"/>
      <c r="G71" s="6"/>
      <c r="H71" s="18"/>
    </row>
    <row r="72" spans="1:8">
      <c r="A72" s="17" t="s">
        <v>15</v>
      </c>
      <c r="B72" s="50">
        <v>10</v>
      </c>
      <c r="C72" s="1"/>
      <c r="E72" s="6"/>
      <c r="F72" s="8"/>
      <c r="G72" s="6"/>
      <c r="H72" s="18"/>
    </row>
    <row r="73" spans="1:8">
      <c r="A73" s="17" t="s">
        <v>3</v>
      </c>
      <c r="B73" s="50">
        <v>9</v>
      </c>
      <c r="C73" s="1"/>
      <c r="E73" s="5"/>
      <c r="F73" s="19"/>
      <c r="G73" s="5"/>
      <c r="H73" s="20"/>
    </row>
    <row r="74" spans="1:8">
      <c r="A74" s="37" t="s">
        <v>16</v>
      </c>
      <c r="B74" s="50">
        <v>9</v>
      </c>
      <c r="C74" s="1"/>
    </row>
    <row r="75" spans="1:8">
      <c r="A75" s="17" t="s">
        <v>4</v>
      </c>
      <c r="B75" s="50">
        <v>5</v>
      </c>
      <c r="C75" s="1"/>
    </row>
    <row r="76" spans="1:8">
      <c r="A76" s="17" t="s">
        <v>5</v>
      </c>
      <c r="B76" s="50">
        <v>5</v>
      </c>
      <c r="C76" s="1"/>
    </row>
    <row r="77" spans="1:8">
      <c r="A77" s="37" t="s">
        <v>17</v>
      </c>
      <c r="B77" s="50">
        <v>4</v>
      </c>
      <c r="C77" s="1"/>
    </row>
    <row r="78" spans="1:8">
      <c r="A78" s="17" t="s">
        <v>6</v>
      </c>
      <c r="B78" s="50">
        <v>3</v>
      </c>
      <c r="C78" s="1"/>
    </row>
    <row r="79" spans="1:8">
      <c r="A79" s="17" t="s">
        <v>7</v>
      </c>
      <c r="B79" s="50">
        <v>2</v>
      </c>
      <c r="C79" s="1"/>
    </row>
    <row r="80" spans="1:8">
      <c r="A80" s="17" t="s">
        <v>78</v>
      </c>
      <c r="B80" s="56">
        <v>3</v>
      </c>
      <c r="C80" s="1"/>
    </row>
    <row r="81" spans="1:3">
      <c r="A81" s="40" t="s">
        <v>8</v>
      </c>
      <c r="B81" s="52">
        <f>SUM(B72:B80)</f>
        <v>50</v>
      </c>
      <c r="C81" s="4"/>
    </row>
    <row r="82" spans="1:3" ht="16.5" thickBot="1">
      <c r="A82" s="41" t="s">
        <v>75</v>
      </c>
      <c r="B82" s="53">
        <v>0.2</v>
      </c>
      <c r="C82" s="7"/>
    </row>
    <row r="83" spans="1:3" ht="19.899999999999999" customHeight="1" thickBot="1"/>
    <row r="84" spans="1:3" ht="20.25">
      <c r="A84" s="87" t="s">
        <v>85</v>
      </c>
      <c r="B84" s="88"/>
      <c r="C84" s="89"/>
    </row>
    <row r="85" spans="1:3">
      <c r="A85" s="42" t="s">
        <v>0</v>
      </c>
      <c r="B85" s="54" t="s">
        <v>1</v>
      </c>
      <c r="C85" s="43" t="s">
        <v>2</v>
      </c>
    </row>
    <row r="86" spans="1:3" ht="28.5">
      <c r="A86" s="17" t="s">
        <v>46</v>
      </c>
      <c r="B86" s="50">
        <f t="shared" ref="B86:B93" si="0">B21</f>
        <v>10</v>
      </c>
      <c r="C86" s="1"/>
    </row>
    <row r="87" spans="1:3" ht="28.5">
      <c r="A87" s="17" t="s">
        <v>47</v>
      </c>
      <c r="B87" s="50">
        <f t="shared" si="0"/>
        <v>10</v>
      </c>
      <c r="C87" s="1"/>
    </row>
    <row r="88" spans="1:3" ht="28.5">
      <c r="A88" s="17" t="s">
        <v>48</v>
      </c>
      <c r="B88" s="50">
        <f t="shared" si="0"/>
        <v>10</v>
      </c>
      <c r="C88" s="1"/>
    </row>
    <row r="89" spans="1:3" ht="28.5">
      <c r="A89" s="17" t="s">
        <v>49</v>
      </c>
      <c r="B89" s="50">
        <f t="shared" si="0"/>
        <v>5</v>
      </c>
      <c r="C89" s="1"/>
    </row>
    <row r="90" spans="1:3" ht="28.5">
      <c r="A90" s="17" t="s">
        <v>50</v>
      </c>
      <c r="B90" s="50">
        <f t="shared" si="0"/>
        <v>5</v>
      </c>
      <c r="C90" s="1"/>
    </row>
    <row r="91" spans="1:3" ht="28.5">
      <c r="A91" s="17" t="s">
        <v>51</v>
      </c>
      <c r="B91" s="50">
        <f t="shared" si="0"/>
        <v>5</v>
      </c>
      <c r="C91" s="1"/>
    </row>
    <row r="92" spans="1:3" ht="28.5">
      <c r="A92" s="17" t="s">
        <v>52</v>
      </c>
      <c r="B92" s="50">
        <f t="shared" si="0"/>
        <v>3</v>
      </c>
      <c r="C92" s="1"/>
    </row>
    <row r="93" spans="1:3">
      <c r="A93" s="17" t="s">
        <v>53</v>
      </c>
      <c r="B93" s="50">
        <f t="shared" si="0"/>
        <v>2</v>
      </c>
      <c r="C93" s="1"/>
    </row>
    <row r="94" spans="1:3">
      <c r="A94" s="40" t="s">
        <v>8</v>
      </c>
      <c r="B94" s="52">
        <f>SUM(B86:B93)</f>
        <v>50</v>
      </c>
      <c r="C94" s="4"/>
    </row>
    <row r="95" spans="1:3" ht="16.5" thickBot="1">
      <c r="A95" s="41" t="s">
        <v>75</v>
      </c>
      <c r="B95" s="53">
        <v>0.8</v>
      </c>
      <c r="C95" s="7"/>
    </row>
    <row r="96" spans="1:3" ht="19.899999999999999" customHeight="1" thickBot="1"/>
    <row r="97" spans="1:3" ht="20.25">
      <c r="A97" s="87" t="s">
        <v>86</v>
      </c>
      <c r="B97" s="88"/>
      <c r="C97" s="89"/>
    </row>
    <row r="98" spans="1:3">
      <c r="A98" s="42" t="s">
        <v>0</v>
      </c>
      <c r="B98" s="54" t="s">
        <v>1</v>
      </c>
      <c r="C98" s="43" t="s">
        <v>2</v>
      </c>
    </row>
    <row r="99" spans="1:3">
      <c r="A99" s="17" t="s">
        <v>20</v>
      </c>
      <c r="B99" s="50">
        <f t="shared" ref="B99:B105" si="1">B34</f>
        <v>10</v>
      </c>
      <c r="C99" s="1"/>
    </row>
    <row r="100" spans="1:3" ht="28.5">
      <c r="A100" s="17" t="s">
        <v>21</v>
      </c>
      <c r="B100" s="50">
        <f t="shared" si="1"/>
        <v>10</v>
      </c>
      <c r="C100" s="1"/>
    </row>
    <row r="101" spans="1:3" ht="28.5">
      <c r="A101" s="17" t="s">
        <v>22</v>
      </c>
      <c r="B101" s="50">
        <f t="shared" si="1"/>
        <v>10</v>
      </c>
      <c r="C101" s="1"/>
    </row>
    <row r="102" spans="1:3">
      <c r="A102" s="37" t="s">
        <v>23</v>
      </c>
      <c r="B102" s="50">
        <f t="shared" si="1"/>
        <v>5</v>
      </c>
      <c r="C102" s="1"/>
    </row>
    <row r="103" spans="1:3">
      <c r="A103" s="17" t="s">
        <v>24</v>
      </c>
      <c r="B103" s="50">
        <f t="shared" si="1"/>
        <v>5</v>
      </c>
      <c r="C103" s="1"/>
    </row>
    <row r="104" spans="1:3" ht="28.5">
      <c r="A104" s="17" t="s">
        <v>25</v>
      </c>
      <c r="B104" s="50">
        <f t="shared" si="1"/>
        <v>5</v>
      </c>
      <c r="C104" s="1"/>
    </row>
    <row r="105" spans="1:3" ht="28.5">
      <c r="A105" s="17" t="s">
        <v>26</v>
      </c>
      <c r="B105" s="50">
        <f t="shared" si="1"/>
        <v>5</v>
      </c>
      <c r="C105" s="1"/>
    </row>
    <row r="106" spans="1:3" ht="31.5">
      <c r="A106" s="39" t="s">
        <v>74</v>
      </c>
      <c r="B106" s="51">
        <v>0</v>
      </c>
      <c r="C106" s="1"/>
    </row>
    <row r="107" spans="1:3" ht="31.5">
      <c r="A107" s="39" t="s">
        <v>27</v>
      </c>
      <c r="B107" s="51">
        <v>0</v>
      </c>
      <c r="C107" s="1"/>
    </row>
    <row r="108" spans="1:3">
      <c r="A108" s="40" t="s">
        <v>8</v>
      </c>
      <c r="B108" s="52">
        <f>SUM(B98:B107)</f>
        <v>50</v>
      </c>
      <c r="C108" s="4"/>
    </row>
    <row r="109" spans="1:3" ht="16.5" thickBot="1">
      <c r="A109" s="41" t="s">
        <v>76</v>
      </c>
      <c r="B109" s="53">
        <v>0.8</v>
      </c>
      <c r="C109" s="7"/>
    </row>
    <row r="110" spans="1:3" ht="19.899999999999999" customHeight="1" thickBot="1">
      <c r="A110" s="44"/>
    </row>
    <row r="111" spans="1:3" ht="20.25">
      <c r="A111" s="87" t="s">
        <v>87</v>
      </c>
      <c r="B111" s="88"/>
      <c r="C111" s="89"/>
    </row>
    <row r="112" spans="1:3">
      <c r="A112" s="42" t="s">
        <v>0</v>
      </c>
      <c r="B112" s="54" t="s">
        <v>1</v>
      </c>
      <c r="C112" s="43" t="s">
        <v>2</v>
      </c>
    </row>
    <row r="113" spans="1:3">
      <c r="A113" s="17" t="s">
        <v>9</v>
      </c>
      <c r="B113" s="51">
        <f>B48</f>
        <v>10</v>
      </c>
      <c r="C113" s="4"/>
    </row>
    <row r="114" spans="1:3">
      <c r="A114" s="17" t="s">
        <v>10</v>
      </c>
      <c r="B114" s="51">
        <v>10</v>
      </c>
      <c r="C114" s="4"/>
    </row>
    <row r="115" spans="1:3">
      <c r="A115" s="17" t="s">
        <v>11</v>
      </c>
      <c r="B115" s="51">
        <v>10</v>
      </c>
      <c r="C115" s="4"/>
    </row>
    <row r="116" spans="1:3">
      <c r="A116" s="17" t="s">
        <v>12</v>
      </c>
      <c r="B116" s="51">
        <v>10</v>
      </c>
      <c r="C116" s="4"/>
    </row>
    <row r="117" spans="1:3">
      <c r="A117" s="17" t="s">
        <v>18</v>
      </c>
      <c r="B117" s="51">
        <v>10</v>
      </c>
      <c r="C117" s="4"/>
    </row>
    <row r="118" spans="1:3">
      <c r="A118" s="40" t="s">
        <v>8</v>
      </c>
      <c r="B118" s="52">
        <f>SUM(B113:B117)</f>
        <v>50</v>
      </c>
      <c r="C118" s="4"/>
    </row>
    <row r="119" spans="1:3" ht="16.5" thickBot="1">
      <c r="A119" s="41" t="s">
        <v>76</v>
      </c>
      <c r="B119" s="53">
        <v>0.2</v>
      </c>
      <c r="C119" s="7"/>
    </row>
    <row r="120" spans="1:3" ht="19.899999999999999" customHeight="1" thickBot="1"/>
    <row r="121" spans="1:3" ht="20.25">
      <c r="A121" s="87" t="s">
        <v>88</v>
      </c>
      <c r="B121" s="88"/>
      <c r="C121" s="89"/>
    </row>
    <row r="122" spans="1:3">
      <c r="A122" s="42" t="s">
        <v>0</v>
      </c>
      <c r="B122" s="54" t="s">
        <v>1</v>
      </c>
      <c r="C122" s="43" t="s">
        <v>2</v>
      </c>
    </row>
    <row r="123" spans="1:3" ht="42.75">
      <c r="A123" s="34" t="s">
        <v>54</v>
      </c>
      <c r="B123" s="51">
        <v>10</v>
      </c>
      <c r="C123" s="4"/>
    </row>
    <row r="124" spans="1:3" ht="28.5">
      <c r="A124" s="34" t="s">
        <v>55</v>
      </c>
      <c r="B124" s="51">
        <v>10</v>
      </c>
      <c r="C124" s="4"/>
    </row>
    <row r="125" spans="1:3" ht="42.75">
      <c r="A125" s="34" t="s">
        <v>61</v>
      </c>
      <c r="B125" s="51">
        <v>10</v>
      </c>
      <c r="C125" s="1"/>
    </row>
    <row r="126" spans="1:3" ht="28.5">
      <c r="A126" s="34" t="s">
        <v>56</v>
      </c>
      <c r="B126" s="51">
        <v>5</v>
      </c>
      <c r="C126" s="1"/>
    </row>
    <row r="127" spans="1:3" ht="28.5">
      <c r="A127" s="34" t="s">
        <v>57</v>
      </c>
      <c r="B127" s="51">
        <v>5</v>
      </c>
      <c r="C127" s="1"/>
    </row>
    <row r="128" spans="1:3" ht="28.5">
      <c r="A128" s="34" t="s">
        <v>58</v>
      </c>
      <c r="B128" s="51">
        <v>5</v>
      </c>
      <c r="C128" s="1"/>
    </row>
    <row r="129" spans="1:8" ht="28.5">
      <c r="A129" s="34" t="s">
        <v>59</v>
      </c>
      <c r="B129" s="51">
        <v>3</v>
      </c>
      <c r="C129" s="1"/>
    </row>
    <row r="130" spans="1:8" ht="28.5">
      <c r="A130" s="34" t="s">
        <v>60</v>
      </c>
      <c r="B130" s="51">
        <v>2</v>
      </c>
      <c r="C130" s="1"/>
    </row>
    <row r="131" spans="1:8">
      <c r="A131" s="40" t="s">
        <v>8</v>
      </c>
      <c r="B131" s="52">
        <f>SUM(B123:B130)</f>
        <v>50</v>
      </c>
      <c r="C131" s="4"/>
    </row>
    <row r="132" spans="1:8" ht="16.5" thickBot="1">
      <c r="A132" s="41" t="s">
        <v>77</v>
      </c>
      <c r="B132" s="53">
        <v>1</v>
      </c>
      <c r="C132" s="7"/>
    </row>
    <row r="133" spans="1:8" ht="19.899999999999999" customHeight="1">
      <c r="B133" s="55"/>
      <c r="C133" s="6"/>
    </row>
    <row r="134" spans="1:8" ht="29.25" thickBot="1">
      <c r="A134" s="48" t="s">
        <v>106</v>
      </c>
    </row>
    <row r="135" spans="1:8" ht="20.25">
      <c r="A135" s="87" t="s">
        <v>89</v>
      </c>
      <c r="B135" s="88"/>
      <c r="C135" s="89"/>
    </row>
    <row r="136" spans="1:8">
      <c r="A136" s="42" t="s">
        <v>0</v>
      </c>
      <c r="B136" s="54" t="s">
        <v>1</v>
      </c>
      <c r="C136" s="43" t="s">
        <v>2</v>
      </c>
      <c r="E136" s="6"/>
      <c r="F136" s="8"/>
      <c r="G136" s="6"/>
      <c r="H136" s="18"/>
    </row>
    <row r="137" spans="1:8">
      <c r="A137" s="17" t="s">
        <v>15</v>
      </c>
      <c r="B137" s="50">
        <f t="shared" ref="B137:B144" si="2">B72</f>
        <v>10</v>
      </c>
      <c r="C137" s="1"/>
      <c r="E137" s="6"/>
      <c r="F137" s="8"/>
      <c r="G137" s="6"/>
      <c r="H137" s="18"/>
    </row>
    <row r="138" spans="1:8">
      <c r="A138" s="17" t="s">
        <v>37</v>
      </c>
      <c r="B138" s="50">
        <f t="shared" si="2"/>
        <v>9</v>
      </c>
      <c r="C138" s="1"/>
      <c r="D138" t="s">
        <v>29</v>
      </c>
      <c r="E138" s="5"/>
      <c r="F138" s="19"/>
      <c r="G138" s="5"/>
      <c r="H138" s="20"/>
    </row>
    <row r="139" spans="1:8">
      <c r="A139" s="37" t="s">
        <v>16</v>
      </c>
      <c r="B139" s="50">
        <f t="shared" si="2"/>
        <v>9</v>
      </c>
      <c r="C139" s="1"/>
    </row>
    <row r="140" spans="1:8">
      <c r="A140" s="17" t="s">
        <v>38</v>
      </c>
      <c r="B140" s="50">
        <f t="shared" si="2"/>
        <v>5</v>
      </c>
      <c r="C140" s="1"/>
    </row>
    <row r="141" spans="1:8">
      <c r="A141" s="17" t="s">
        <v>39</v>
      </c>
      <c r="B141" s="50">
        <f t="shared" si="2"/>
        <v>5</v>
      </c>
      <c r="C141" s="1"/>
    </row>
    <row r="142" spans="1:8">
      <c r="A142" s="37" t="s">
        <v>17</v>
      </c>
      <c r="B142" s="50">
        <f t="shared" si="2"/>
        <v>4</v>
      </c>
      <c r="C142" s="1"/>
    </row>
    <row r="143" spans="1:8">
      <c r="A143" s="17" t="s">
        <v>40</v>
      </c>
      <c r="B143" s="50">
        <f t="shared" si="2"/>
        <v>3</v>
      </c>
      <c r="C143" s="1"/>
    </row>
    <row r="144" spans="1:8">
      <c r="A144" s="17" t="s">
        <v>7</v>
      </c>
      <c r="B144" s="50">
        <f t="shared" si="2"/>
        <v>2</v>
      </c>
      <c r="C144" s="1"/>
    </row>
    <row r="145" spans="1:3">
      <c r="A145" s="17" t="s">
        <v>78</v>
      </c>
      <c r="B145" s="51">
        <v>3</v>
      </c>
      <c r="C145" s="1"/>
    </row>
    <row r="146" spans="1:3">
      <c r="A146" s="40" t="s">
        <v>8</v>
      </c>
      <c r="B146" s="52">
        <f>SUM(B137:B145)</f>
        <v>50</v>
      </c>
      <c r="C146" s="4"/>
    </row>
    <row r="147" spans="1:3" ht="16.5" thickBot="1">
      <c r="A147" s="41" t="s">
        <v>75</v>
      </c>
      <c r="B147" s="53">
        <v>0.2</v>
      </c>
      <c r="C147" s="7"/>
    </row>
    <row r="148" spans="1:3" ht="19.899999999999999" customHeight="1" thickBot="1"/>
    <row r="149" spans="1:3" ht="20.25">
      <c r="A149" s="87" t="s">
        <v>85</v>
      </c>
      <c r="B149" s="88"/>
      <c r="C149" s="89"/>
    </row>
    <row r="150" spans="1:3">
      <c r="A150" s="42" t="s">
        <v>0</v>
      </c>
      <c r="B150" s="54" t="s">
        <v>1</v>
      </c>
      <c r="C150" s="43" t="s">
        <v>2</v>
      </c>
    </row>
    <row r="151" spans="1:3" ht="28.5">
      <c r="A151" s="17" t="s">
        <v>46</v>
      </c>
      <c r="B151" s="50">
        <f t="shared" ref="B151:B158" si="3">B86</f>
        <v>10</v>
      </c>
      <c r="C151" s="1"/>
    </row>
    <row r="152" spans="1:3" ht="28.5">
      <c r="A152" s="17" t="s">
        <v>47</v>
      </c>
      <c r="B152" s="50">
        <f t="shared" si="3"/>
        <v>10</v>
      </c>
      <c r="C152" s="1"/>
    </row>
    <row r="153" spans="1:3" ht="28.5">
      <c r="A153" s="17" t="s">
        <v>48</v>
      </c>
      <c r="B153" s="50">
        <f t="shared" si="3"/>
        <v>10</v>
      </c>
      <c r="C153" s="1"/>
    </row>
    <row r="154" spans="1:3" ht="28.5">
      <c r="A154" s="17" t="s">
        <v>49</v>
      </c>
      <c r="B154" s="50">
        <f t="shared" si="3"/>
        <v>5</v>
      </c>
      <c r="C154" s="1"/>
    </row>
    <row r="155" spans="1:3" ht="28.5">
      <c r="A155" s="17" t="s">
        <v>50</v>
      </c>
      <c r="B155" s="50">
        <f t="shared" si="3"/>
        <v>5</v>
      </c>
      <c r="C155" s="1"/>
    </row>
    <row r="156" spans="1:3" ht="28.5">
      <c r="A156" s="17" t="s">
        <v>51</v>
      </c>
      <c r="B156" s="50">
        <f t="shared" si="3"/>
        <v>5</v>
      </c>
      <c r="C156" s="1"/>
    </row>
    <row r="157" spans="1:3" ht="28.5">
      <c r="A157" s="17" t="s">
        <v>52</v>
      </c>
      <c r="B157" s="50">
        <f t="shared" si="3"/>
        <v>3</v>
      </c>
      <c r="C157" s="1"/>
    </row>
    <row r="158" spans="1:3">
      <c r="A158" s="17" t="s">
        <v>53</v>
      </c>
      <c r="B158" s="50">
        <f t="shared" si="3"/>
        <v>2</v>
      </c>
      <c r="C158" s="1"/>
    </row>
    <row r="159" spans="1:3">
      <c r="A159" s="40" t="s">
        <v>8</v>
      </c>
      <c r="B159" s="52">
        <f>SUM(B151:B158)</f>
        <v>50</v>
      </c>
      <c r="C159" s="4"/>
    </row>
    <row r="160" spans="1:3" ht="16.5" thickBot="1">
      <c r="A160" s="41" t="s">
        <v>75</v>
      </c>
      <c r="B160" s="53">
        <v>0.8</v>
      </c>
      <c r="C160" s="7"/>
    </row>
    <row r="161" spans="1:3" ht="19.899999999999999" customHeight="1" thickBot="1"/>
    <row r="162" spans="1:3" ht="20.25">
      <c r="A162" s="87" t="s">
        <v>86</v>
      </c>
      <c r="B162" s="88"/>
      <c r="C162" s="89"/>
    </row>
    <row r="163" spans="1:3">
      <c r="A163" s="42" t="s">
        <v>0</v>
      </c>
      <c r="B163" s="54" t="s">
        <v>1</v>
      </c>
      <c r="C163" s="43" t="s">
        <v>2</v>
      </c>
    </row>
    <row r="164" spans="1:3">
      <c r="A164" s="17" t="s">
        <v>20</v>
      </c>
      <c r="B164" s="50">
        <f t="shared" ref="B164:B170" si="4">B99</f>
        <v>10</v>
      </c>
      <c r="C164" s="1"/>
    </row>
    <row r="165" spans="1:3" ht="28.5">
      <c r="A165" s="17" t="s">
        <v>21</v>
      </c>
      <c r="B165" s="50">
        <f t="shared" si="4"/>
        <v>10</v>
      </c>
      <c r="C165" s="1"/>
    </row>
    <row r="166" spans="1:3" ht="28.5">
      <c r="A166" s="17" t="s">
        <v>22</v>
      </c>
      <c r="B166" s="50">
        <f t="shared" si="4"/>
        <v>10</v>
      </c>
      <c r="C166" s="1"/>
    </row>
    <row r="167" spans="1:3">
      <c r="A167" s="37" t="s">
        <v>23</v>
      </c>
      <c r="B167" s="50">
        <f t="shared" si="4"/>
        <v>5</v>
      </c>
      <c r="C167" s="1"/>
    </row>
    <row r="168" spans="1:3">
      <c r="A168" s="17" t="s">
        <v>24</v>
      </c>
      <c r="B168" s="50">
        <f t="shared" si="4"/>
        <v>5</v>
      </c>
      <c r="C168" s="1"/>
    </row>
    <row r="169" spans="1:3" ht="28.5">
      <c r="A169" s="17" t="s">
        <v>25</v>
      </c>
      <c r="B169" s="50">
        <f t="shared" si="4"/>
        <v>5</v>
      </c>
      <c r="C169" s="1"/>
    </row>
    <row r="170" spans="1:3" ht="28.5">
      <c r="A170" s="17" t="s">
        <v>26</v>
      </c>
      <c r="B170" s="50">
        <f t="shared" si="4"/>
        <v>5</v>
      </c>
      <c r="C170" s="1"/>
    </row>
    <row r="171" spans="1:3" ht="31.5">
      <c r="A171" s="39" t="s">
        <v>74</v>
      </c>
      <c r="B171" s="51">
        <v>0</v>
      </c>
      <c r="C171" s="1"/>
    </row>
    <row r="172" spans="1:3" ht="31.5">
      <c r="A172" s="39" t="s">
        <v>27</v>
      </c>
      <c r="B172" s="51">
        <v>0</v>
      </c>
      <c r="C172" s="1"/>
    </row>
    <row r="173" spans="1:3">
      <c r="A173" s="40" t="s">
        <v>8</v>
      </c>
      <c r="B173" s="52">
        <f>SUM(B164:B172)</f>
        <v>50</v>
      </c>
      <c r="C173" s="4"/>
    </row>
    <row r="174" spans="1:3" ht="16.5" thickBot="1">
      <c r="A174" s="41" t="s">
        <v>76</v>
      </c>
      <c r="B174" s="53">
        <v>0.8</v>
      </c>
      <c r="C174" s="7"/>
    </row>
    <row r="175" spans="1:3" ht="19.899999999999999" customHeight="1" thickBot="1">
      <c r="A175" s="44"/>
    </row>
    <row r="176" spans="1:3" ht="20.25">
      <c r="A176" s="87" t="s">
        <v>87</v>
      </c>
      <c r="B176" s="88"/>
      <c r="C176" s="89"/>
    </row>
    <row r="177" spans="1:3">
      <c r="A177" s="42" t="s">
        <v>0</v>
      </c>
      <c r="B177" s="54" t="s">
        <v>1</v>
      </c>
      <c r="C177" s="43" t="s">
        <v>2</v>
      </c>
    </row>
    <row r="178" spans="1:3">
      <c r="A178" s="17" t="s">
        <v>9</v>
      </c>
      <c r="B178" s="51">
        <v>10</v>
      </c>
      <c r="C178" s="4"/>
    </row>
    <row r="179" spans="1:3">
      <c r="A179" s="17" t="s">
        <v>10</v>
      </c>
      <c r="B179" s="51">
        <v>10</v>
      </c>
      <c r="C179" s="4"/>
    </row>
    <row r="180" spans="1:3">
      <c r="A180" s="17" t="s">
        <v>11</v>
      </c>
      <c r="B180" s="51">
        <v>10</v>
      </c>
      <c r="C180" s="4"/>
    </row>
    <row r="181" spans="1:3">
      <c r="A181" s="17" t="s">
        <v>12</v>
      </c>
      <c r="B181" s="51">
        <v>10</v>
      </c>
      <c r="C181" s="4"/>
    </row>
    <row r="182" spans="1:3">
      <c r="A182" s="17" t="s">
        <v>18</v>
      </c>
      <c r="B182" s="51">
        <v>10</v>
      </c>
      <c r="C182" s="4"/>
    </row>
    <row r="183" spans="1:3">
      <c r="A183" s="40" t="s">
        <v>8</v>
      </c>
      <c r="B183" s="52">
        <f>SUM(B178:B182)</f>
        <v>50</v>
      </c>
      <c r="C183" s="4"/>
    </row>
    <row r="184" spans="1:3" ht="16.5" thickBot="1">
      <c r="A184" s="41" t="s">
        <v>76</v>
      </c>
      <c r="B184" s="53">
        <v>0.2</v>
      </c>
      <c r="C184" s="7"/>
    </row>
    <row r="185" spans="1:3" ht="16.5" thickBot="1"/>
    <row r="186" spans="1:3" ht="20.25">
      <c r="A186" s="87" t="s">
        <v>88</v>
      </c>
      <c r="B186" s="88"/>
      <c r="C186" s="89"/>
    </row>
    <row r="187" spans="1:3">
      <c r="A187" s="42" t="s">
        <v>0</v>
      </c>
      <c r="B187" s="54" t="s">
        <v>1</v>
      </c>
      <c r="C187" s="43" t="s">
        <v>2</v>
      </c>
    </row>
    <row r="188" spans="1:3" ht="42.75">
      <c r="A188" s="17" t="s">
        <v>54</v>
      </c>
      <c r="B188" s="51">
        <v>10</v>
      </c>
      <c r="C188" s="4"/>
    </row>
    <row r="189" spans="1:3" ht="28.5">
      <c r="A189" s="17" t="s">
        <v>55</v>
      </c>
      <c r="B189" s="51">
        <v>10</v>
      </c>
      <c r="C189" s="4"/>
    </row>
    <row r="190" spans="1:3" ht="42.75">
      <c r="A190" s="17" t="s">
        <v>61</v>
      </c>
      <c r="B190" s="51">
        <v>10</v>
      </c>
      <c r="C190" s="1"/>
    </row>
    <row r="191" spans="1:3" ht="28.5">
      <c r="A191" s="17" t="s">
        <v>56</v>
      </c>
      <c r="B191" s="51">
        <v>5</v>
      </c>
      <c r="C191" s="1"/>
    </row>
    <row r="192" spans="1:3" ht="28.5">
      <c r="A192" s="17" t="s">
        <v>57</v>
      </c>
      <c r="B192" s="51">
        <v>5</v>
      </c>
      <c r="C192" s="1"/>
    </row>
    <row r="193" spans="1:9" ht="28.5">
      <c r="A193" s="17" t="s">
        <v>58</v>
      </c>
      <c r="B193" s="51">
        <v>5</v>
      </c>
      <c r="C193" s="1"/>
    </row>
    <row r="194" spans="1:9" ht="28.5">
      <c r="A194" s="17" t="s">
        <v>59</v>
      </c>
      <c r="B194" s="51">
        <v>3</v>
      </c>
      <c r="C194" s="1"/>
    </row>
    <row r="195" spans="1:9" ht="28.5">
      <c r="A195" s="17" t="s">
        <v>60</v>
      </c>
      <c r="B195" s="51">
        <v>2</v>
      </c>
      <c r="C195" s="1"/>
    </row>
    <row r="196" spans="1:9">
      <c r="A196" s="40" t="s">
        <v>8</v>
      </c>
      <c r="B196" s="52">
        <f>SUM(B188:B195)</f>
        <v>50</v>
      </c>
      <c r="C196" s="4"/>
    </row>
    <row r="197" spans="1:9" ht="16.5" thickBot="1">
      <c r="A197" s="41" t="s">
        <v>77</v>
      </c>
      <c r="B197" s="53">
        <v>1</v>
      </c>
      <c r="C197" s="7"/>
    </row>
    <row r="198" spans="1:9" ht="19.899999999999999" customHeight="1">
      <c r="B198" s="55"/>
      <c r="C198" s="6"/>
      <c r="I198" s="45" t="s">
        <v>108</v>
      </c>
    </row>
    <row r="199" spans="1:9" ht="29.25" thickBot="1">
      <c r="A199" s="48" t="s">
        <v>107</v>
      </c>
    </row>
    <row r="200" spans="1:9" ht="20.25">
      <c r="A200" s="87" t="s">
        <v>89</v>
      </c>
      <c r="B200" s="88"/>
      <c r="C200" s="89"/>
    </row>
    <row r="201" spans="1:9">
      <c r="A201" s="42" t="s">
        <v>0</v>
      </c>
      <c r="B201" s="54" t="s">
        <v>1</v>
      </c>
      <c r="C201" s="43" t="s">
        <v>2</v>
      </c>
      <c r="E201" s="6"/>
      <c r="F201" s="8"/>
      <c r="G201" s="6"/>
      <c r="H201" s="18"/>
    </row>
    <row r="202" spans="1:9">
      <c r="A202" s="17" t="s">
        <v>15</v>
      </c>
      <c r="B202" s="50">
        <f t="shared" ref="B202:B209" si="5">B137</f>
        <v>10</v>
      </c>
      <c r="C202" s="1"/>
      <c r="E202" s="6"/>
      <c r="F202" s="8"/>
      <c r="G202" s="6"/>
      <c r="H202" s="18"/>
    </row>
    <row r="203" spans="1:9">
      <c r="A203" s="17" t="s">
        <v>3</v>
      </c>
      <c r="B203" s="50">
        <f t="shared" si="5"/>
        <v>9</v>
      </c>
      <c r="C203" s="1"/>
      <c r="D203" t="s">
        <v>29</v>
      </c>
      <c r="E203" s="5"/>
      <c r="F203" s="19"/>
      <c r="G203" s="5"/>
      <c r="H203" s="20"/>
    </row>
    <row r="204" spans="1:9">
      <c r="A204" s="37" t="s">
        <v>16</v>
      </c>
      <c r="B204" s="50">
        <f t="shared" si="5"/>
        <v>9</v>
      </c>
      <c r="C204" s="1"/>
    </row>
    <row r="205" spans="1:9">
      <c r="A205" s="17" t="s">
        <v>4</v>
      </c>
      <c r="B205" s="50">
        <f t="shared" si="5"/>
        <v>5</v>
      </c>
      <c r="C205" s="1"/>
    </row>
    <row r="206" spans="1:9">
      <c r="A206" s="17" t="s">
        <v>5</v>
      </c>
      <c r="B206" s="50">
        <f t="shared" si="5"/>
        <v>5</v>
      </c>
      <c r="C206" s="1"/>
    </row>
    <row r="207" spans="1:9">
      <c r="A207" s="37" t="s">
        <v>17</v>
      </c>
      <c r="B207" s="50">
        <f t="shared" si="5"/>
        <v>4</v>
      </c>
      <c r="C207" s="1"/>
    </row>
    <row r="208" spans="1:9">
      <c r="A208" s="17" t="s">
        <v>6</v>
      </c>
      <c r="B208" s="50">
        <f t="shared" si="5"/>
        <v>3</v>
      </c>
      <c r="C208" s="1"/>
    </row>
    <row r="209" spans="1:3">
      <c r="A209" s="17" t="s">
        <v>7</v>
      </c>
      <c r="B209" s="50">
        <f t="shared" si="5"/>
        <v>2</v>
      </c>
      <c r="C209" s="1"/>
    </row>
    <row r="210" spans="1:3">
      <c r="A210" s="17" t="s">
        <v>78</v>
      </c>
      <c r="B210" s="51">
        <v>3</v>
      </c>
      <c r="C210" s="1"/>
    </row>
    <row r="211" spans="1:3">
      <c r="A211" s="40" t="s">
        <v>8</v>
      </c>
      <c r="B211" s="52">
        <f>SUM(B202:B210)</f>
        <v>50</v>
      </c>
      <c r="C211" s="4"/>
    </row>
    <row r="212" spans="1:3" ht="16.5" thickBot="1">
      <c r="A212" s="41" t="s">
        <v>75</v>
      </c>
      <c r="B212" s="53">
        <v>0.2</v>
      </c>
      <c r="C212" s="7"/>
    </row>
    <row r="213" spans="1:3" ht="19.899999999999999" customHeight="1" thickBot="1"/>
    <row r="214" spans="1:3" ht="20.25">
      <c r="A214" s="87" t="s">
        <v>85</v>
      </c>
      <c r="B214" s="88"/>
      <c r="C214" s="89"/>
    </row>
    <row r="215" spans="1:3">
      <c r="A215" s="42" t="s">
        <v>0</v>
      </c>
      <c r="B215" s="54" t="s">
        <v>1</v>
      </c>
      <c r="C215" s="43" t="s">
        <v>2</v>
      </c>
    </row>
    <row r="216" spans="1:3" ht="28.5">
      <c r="A216" s="17" t="s">
        <v>46</v>
      </c>
      <c r="B216" s="50">
        <f t="shared" ref="B216:B223" si="6">B151</f>
        <v>10</v>
      </c>
      <c r="C216" s="1"/>
    </row>
    <row r="217" spans="1:3" ht="28.5">
      <c r="A217" s="17" t="s">
        <v>47</v>
      </c>
      <c r="B217" s="50">
        <f t="shared" si="6"/>
        <v>10</v>
      </c>
      <c r="C217" s="1"/>
    </row>
    <row r="218" spans="1:3" ht="28.5">
      <c r="A218" s="17" t="s">
        <v>48</v>
      </c>
      <c r="B218" s="50">
        <f t="shared" si="6"/>
        <v>10</v>
      </c>
      <c r="C218" s="1"/>
    </row>
    <row r="219" spans="1:3" ht="28.5">
      <c r="A219" s="17" t="s">
        <v>49</v>
      </c>
      <c r="B219" s="50">
        <f t="shared" si="6"/>
        <v>5</v>
      </c>
      <c r="C219" s="1"/>
    </row>
    <row r="220" spans="1:3" ht="28.5">
      <c r="A220" s="17" t="s">
        <v>50</v>
      </c>
      <c r="B220" s="50">
        <f t="shared" si="6"/>
        <v>5</v>
      </c>
      <c r="C220" s="1"/>
    </row>
    <row r="221" spans="1:3" ht="28.5">
      <c r="A221" s="17" t="s">
        <v>51</v>
      </c>
      <c r="B221" s="50">
        <f t="shared" si="6"/>
        <v>5</v>
      </c>
      <c r="C221" s="1"/>
    </row>
    <row r="222" spans="1:3" ht="28.5">
      <c r="A222" s="17" t="s">
        <v>52</v>
      </c>
      <c r="B222" s="50">
        <f t="shared" si="6"/>
        <v>3</v>
      </c>
      <c r="C222" s="1"/>
    </row>
    <row r="223" spans="1:3">
      <c r="A223" s="17" t="s">
        <v>53</v>
      </c>
      <c r="B223" s="50">
        <f t="shared" si="6"/>
        <v>2</v>
      </c>
      <c r="C223" s="1"/>
    </row>
    <row r="224" spans="1:3">
      <c r="A224" s="40" t="s">
        <v>8</v>
      </c>
      <c r="B224" s="52">
        <f>SUM(B216:B223)</f>
        <v>50</v>
      </c>
      <c r="C224" s="4"/>
    </row>
    <row r="225" spans="1:3" ht="16.5" thickBot="1">
      <c r="A225" s="41" t="s">
        <v>75</v>
      </c>
      <c r="B225" s="53">
        <v>0.8</v>
      </c>
      <c r="C225" s="7"/>
    </row>
    <row r="226" spans="1:3" ht="19.899999999999999" customHeight="1" thickBot="1"/>
    <row r="227" spans="1:3" ht="20.25">
      <c r="A227" s="87" t="s">
        <v>86</v>
      </c>
      <c r="B227" s="88"/>
      <c r="C227" s="89"/>
    </row>
    <row r="228" spans="1:3">
      <c r="A228" s="42" t="s">
        <v>0</v>
      </c>
      <c r="B228" s="54" t="s">
        <v>1</v>
      </c>
      <c r="C228" s="43" t="s">
        <v>2</v>
      </c>
    </row>
    <row r="229" spans="1:3">
      <c r="A229" s="17" t="s">
        <v>20</v>
      </c>
      <c r="B229" s="50">
        <f t="shared" ref="B229:B235" si="7">B164</f>
        <v>10</v>
      </c>
      <c r="C229" s="1"/>
    </row>
    <row r="230" spans="1:3" ht="28.5">
      <c r="A230" s="17" t="s">
        <v>21</v>
      </c>
      <c r="B230" s="50">
        <f t="shared" si="7"/>
        <v>10</v>
      </c>
      <c r="C230" s="1"/>
    </row>
    <row r="231" spans="1:3" ht="28.5">
      <c r="A231" s="17" t="s">
        <v>22</v>
      </c>
      <c r="B231" s="50">
        <f t="shared" si="7"/>
        <v>10</v>
      </c>
      <c r="C231" s="1"/>
    </row>
    <row r="232" spans="1:3">
      <c r="A232" s="37" t="s">
        <v>23</v>
      </c>
      <c r="B232" s="50">
        <f t="shared" si="7"/>
        <v>5</v>
      </c>
      <c r="C232" s="1"/>
    </row>
    <row r="233" spans="1:3">
      <c r="A233" s="17" t="s">
        <v>24</v>
      </c>
      <c r="B233" s="50">
        <f t="shared" si="7"/>
        <v>5</v>
      </c>
      <c r="C233" s="1"/>
    </row>
    <row r="234" spans="1:3" ht="28.5">
      <c r="A234" s="17" t="s">
        <v>25</v>
      </c>
      <c r="B234" s="50">
        <f t="shared" si="7"/>
        <v>5</v>
      </c>
      <c r="C234" s="1"/>
    </row>
    <row r="235" spans="1:3" ht="28.5">
      <c r="A235" s="17" t="s">
        <v>26</v>
      </c>
      <c r="B235" s="50">
        <f t="shared" si="7"/>
        <v>5</v>
      </c>
      <c r="C235" s="1"/>
    </row>
    <row r="236" spans="1:3" ht="31.5">
      <c r="A236" s="39" t="s">
        <v>74</v>
      </c>
      <c r="B236" s="51">
        <v>0</v>
      </c>
      <c r="C236" s="1"/>
    </row>
    <row r="237" spans="1:3" ht="31.5">
      <c r="A237" s="39" t="s">
        <v>27</v>
      </c>
      <c r="B237" s="51">
        <v>0</v>
      </c>
      <c r="C237" s="1"/>
    </row>
    <row r="238" spans="1:3">
      <c r="A238" s="40" t="s">
        <v>8</v>
      </c>
      <c r="B238" s="52">
        <f>SUM(B228:B237)</f>
        <v>50</v>
      </c>
      <c r="C238" s="4"/>
    </row>
    <row r="239" spans="1:3" ht="16.5" thickBot="1">
      <c r="A239" s="41" t="s">
        <v>76</v>
      </c>
      <c r="B239" s="53">
        <v>0.8</v>
      </c>
      <c r="C239" s="7"/>
    </row>
    <row r="240" spans="1:3" ht="19.899999999999999" customHeight="1" thickBot="1">
      <c r="A240" s="44"/>
    </row>
    <row r="241" spans="1:10" s="64" customFormat="1" ht="21">
      <c r="A241" s="87" t="s">
        <v>87</v>
      </c>
      <c r="B241" s="88"/>
      <c r="C241" s="89"/>
      <c r="H241" s="76"/>
      <c r="I241" s="76"/>
      <c r="J241" s="76"/>
    </row>
    <row r="242" spans="1:10">
      <c r="A242" s="42" t="s">
        <v>0</v>
      </c>
      <c r="B242" s="54" t="s">
        <v>1</v>
      </c>
      <c r="C242" s="43" t="s">
        <v>2</v>
      </c>
    </row>
    <row r="243" spans="1:10">
      <c r="A243" s="17" t="s">
        <v>9</v>
      </c>
      <c r="B243" s="51">
        <v>10</v>
      </c>
      <c r="C243" s="4"/>
    </row>
    <row r="244" spans="1:10">
      <c r="A244" s="17" t="s">
        <v>10</v>
      </c>
      <c r="B244" s="51">
        <v>10</v>
      </c>
      <c r="C244" s="4"/>
    </row>
    <row r="245" spans="1:10">
      <c r="A245" s="17" t="s">
        <v>11</v>
      </c>
      <c r="B245" s="51">
        <v>10</v>
      </c>
      <c r="C245" s="4"/>
    </row>
    <row r="246" spans="1:10">
      <c r="A246" s="17" t="s">
        <v>12</v>
      </c>
      <c r="B246" s="51">
        <v>10</v>
      </c>
      <c r="C246" s="4"/>
    </row>
    <row r="247" spans="1:10">
      <c r="A247" s="17" t="s">
        <v>18</v>
      </c>
      <c r="B247" s="51">
        <v>10</v>
      </c>
      <c r="C247" s="4"/>
    </row>
    <row r="248" spans="1:10">
      <c r="A248" s="40" t="s">
        <v>8</v>
      </c>
      <c r="B248" s="52">
        <f>SUM(B243:B247)</f>
        <v>50</v>
      </c>
      <c r="C248" s="4"/>
    </row>
    <row r="249" spans="1:10" ht="16.5" thickBot="1">
      <c r="A249" s="41" t="s">
        <v>76</v>
      </c>
      <c r="B249" s="53">
        <v>0.2</v>
      </c>
      <c r="C249" s="7"/>
    </row>
    <row r="250" spans="1:10" ht="19.899999999999999" customHeight="1" thickBot="1"/>
    <row r="251" spans="1:10" ht="20.25">
      <c r="A251" s="90" t="s">
        <v>88</v>
      </c>
      <c r="B251" s="91"/>
      <c r="C251" s="92"/>
    </row>
    <row r="252" spans="1:10">
      <c r="A252" s="42" t="s">
        <v>0</v>
      </c>
      <c r="B252" s="54" t="s">
        <v>1</v>
      </c>
      <c r="C252" s="43" t="s">
        <v>2</v>
      </c>
    </row>
    <row r="253" spans="1:10" ht="42.75">
      <c r="A253" s="17" t="s">
        <v>54</v>
      </c>
      <c r="B253" s="51">
        <v>10</v>
      </c>
      <c r="C253" s="4"/>
    </row>
    <row r="254" spans="1:10" ht="28.5">
      <c r="A254" s="17" t="s">
        <v>55</v>
      </c>
      <c r="B254" s="51">
        <v>10</v>
      </c>
      <c r="C254" s="4"/>
    </row>
    <row r="255" spans="1:10" ht="42.75">
      <c r="A255" s="17" t="s">
        <v>61</v>
      </c>
      <c r="B255" s="51">
        <v>10</v>
      </c>
      <c r="C255" s="1"/>
    </row>
    <row r="256" spans="1:10" ht="28.5">
      <c r="A256" s="17" t="s">
        <v>56</v>
      </c>
      <c r="B256" s="51">
        <v>5</v>
      </c>
      <c r="C256" s="1"/>
    </row>
    <row r="257" spans="1:3" ht="28.5">
      <c r="A257" s="17" t="s">
        <v>57</v>
      </c>
      <c r="B257" s="51">
        <v>5</v>
      </c>
      <c r="C257" s="1"/>
    </row>
    <row r="258" spans="1:3" ht="28.5">
      <c r="A258" s="17" t="s">
        <v>58</v>
      </c>
      <c r="B258" s="51">
        <v>5</v>
      </c>
      <c r="C258" s="1"/>
    </row>
    <row r="259" spans="1:3" ht="28.5">
      <c r="A259" s="17" t="s">
        <v>59</v>
      </c>
      <c r="B259" s="51">
        <v>3</v>
      </c>
      <c r="C259" s="1"/>
    </row>
    <row r="260" spans="1:3" ht="28.5">
      <c r="A260" s="17" t="s">
        <v>60</v>
      </c>
      <c r="B260" s="51">
        <v>2</v>
      </c>
      <c r="C260" s="1"/>
    </row>
    <row r="261" spans="1:3">
      <c r="A261" s="40" t="s">
        <v>8</v>
      </c>
      <c r="B261" s="52">
        <f>SUM(B253:B260)</f>
        <v>50</v>
      </c>
      <c r="C261" s="4"/>
    </row>
    <row r="262" spans="1:3" ht="16.5" thickBot="1">
      <c r="A262" s="41" t="s">
        <v>77</v>
      </c>
      <c r="B262" s="53">
        <v>1</v>
      </c>
      <c r="C262" s="7"/>
    </row>
  </sheetData>
  <mergeCells count="20">
    <mergeCell ref="A200:C200"/>
    <mergeCell ref="A214:C214"/>
    <mergeCell ref="A227:C227"/>
    <mergeCell ref="A241:C241"/>
    <mergeCell ref="A251:C251"/>
    <mergeCell ref="A19:C19"/>
    <mergeCell ref="A5:C5"/>
    <mergeCell ref="A32:C32"/>
    <mergeCell ref="A46:C46"/>
    <mergeCell ref="A56:C56"/>
    <mergeCell ref="A176:C176"/>
    <mergeCell ref="A186:C186"/>
    <mergeCell ref="A70:C70"/>
    <mergeCell ref="A84:C84"/>
    <mergeCell ref="A97:C97"/>
    <mergeCell ref="A111:C111"/>
    <mergeCell ref="A121:C121"/>
    <mergeCell ref="A135:C135"/>
    <mergeCell ref="A149:C149"/>
    <mergeCell ref="A162:C162"/>
  </mergeCells>
  <dataValidations count="7">
    <dataValidation type="list" showInputMessage="1" showErrorMessage="1" sqref="B58:B60 B72:B74 B21:B23 B34:B36 B48:B52 B123:B125 B229:B231 B86:B88 B99:B101 B113:B117 B188:B190 B243:B247 B137:B139 B216:B218 B178:B182 B253:B255 B202:B204 B151:B153 B164:B166 B7" xr:uid="{D2ADF534-FD87-3544-88CD-F6F042F5D49C}">
      <formula1>"0,1,2,3,4,5,6,7,8,9,10"</formula1>
    </dataValidation>
    <dataValidation type="list" showInputMessage="1" showErrorMessage="1" sqref="B61:B63 B37:B40 B24:B26 B126:B128 B102:B105 B89:B91 B191:B193 B219:B221 B154:B156 B256:B258 B167:B170 B232:B235 B75:B77 B10:B11" xr:uid="{F30EF893-F460-C042-8875-9BC609C1676A}">
      <formula1>"0,1,2,3,4,5"</formula1>
    </dataValidation>
    <dataValidation type="list" allowBlank="1" showInputMessage="1" showErrorMessage="1" sqref="B64 B27 B129 B92 B194 B157 B259 B222 B13 B15 B78 B80 B145" xr:uid="{6664B3BC-8DF8-3149-A276-F07F64717D6F}">
      <formula1>"0,1,2,3"</formula1>
    </dataValidation>
    <dataValidation type="list" showInputMessage="1" showErrorMessage="1" sqref="B65 B28 B130 B93 B195 B158 B260 B223 B14 B79" xr:uid="{AC317C16-6CA0-2245-BEEE-043A06683EDB}">
      <formula1>"0,1,2"</formula1>
    </dataValidation>
    <dataValidation type="list" allowBlank="1" showInputMessage="1" showErrorMessage="1" sqref="B41:B42 B171:B172 B106:B107 B236:B237" xr:uid="{BEFEDEB9-2F5B-EA4F-B152-103EA823E4EC}">
      <formula1>"-2,-1,0,1,2"</formula1>
    </dataValidation>
    <dataValidation type="list" showInputMessage="1" showErrorMessage="1" sqref="B8 B9" xr:uid="{8701C770-5B94-4C0C-B4CF-0B71A31550E6}">
      <formula1>"0,1,2,3,4,5,6,7,8,9"</formula1>
    </dataValidation>
    <dataValidation type="list" showInputMessage="1" showErrorMessage="1" sqref="B12" xr:uid="{13C15E26-223E-48A9-9B2B-7ECE727A9E91}">
      <formula1>"0,1,2,3,4"</formula1>
    </dataValidation>
  </dataValidations>
  <pageMargins left="0.7" right="0.7" top="0.75" bottom="0.75" header="0.3" footer="0.3"/>
  <pageSetup paperSize="9" scale="32" orientation="landscape" r:id="rId1"/>
  <rowBreaks count="3" manualBreakCount="3">
    <brk id="68" max="16383" man="1"/>
    <brk id="133" max="16383" man="1"/>
    <brk id="198" max="1638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D604D4E6-9612-4C5F-9513-3892A6531EC3}">
          <x14:formula1>
            <xm:f>'RECAPITULATIF CLASSE'!$C$6:$C$34</xm:f>
          </x14:formula1>
          <xm:sqref>F7:F10</xm:sqref>
        </x14:dataValidation>
        <x14:dataValidation type="list" allowBlank="1" showInputMessage="1" showErrorMessage="1" xr:uid="{142A6D0D-8AF1-4E51-BE61-CBF5F40CCF52}">
          <x14:formula1>
            <xm:f>'RECAPITULATIF CLASSE'!$D$6:$D$33</xm:f>
          </x14:formula1>
          <xm:sqref>G7:G10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B51702E45F3542B7EE0CA94E3D6A21" ma:contentTypeVersion="4" ma:contentTypeDescription="Crée un document." ma:contentTypeScope="" ma:versionID="c164134fd8a502396673d513185ed6f8">
  <xsd:schema xmlns:xsd="http://www.w3.org/2001/XMLSchema" xmlns:xs="http://www.w3.org/2001/XMLSchema" xmlns:p="http://schemas.microsoft.com/office/2006/metadata/properties" xmlns:ns2="a697b074-c6eb-410a-b54e-210c8f22424b" targetNamespace="http://schemas.microsoft.com/office/2006/metadata/properties" ma:root="true" ma:fieldsID="73cba15355e5a3f6ab519228590a5943" ns2:_="">
    <xsd:import namespace="a697b074-c6eb-410a-b54e-210c8f2242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7b074-c6eb-410a-b54e-210c8f2242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3EAC8A-60E3-459C-99A9-87069C5399F1}">
  <ds:schemaRefs>
    <ds:schemaRef ds:uri="http://purl.org/dc/dcmitype/"/>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purl.org/dc/terms/"/>
    <ds:schemaRef ds:uri="http://schemas.microsoft.com/office/2006/metadata/properties"/>
    <ds:schemaRef ds:uri="a697b074-c6eb-410a-b54e-210c8f22424b"/>
  </ds:schemaRefs>
</ds:datastoreItem>
</file>

<file path=customXml/itemProps2.xml><?xml version="1.0" encoding="utf-8"?>
<ds:datastoreItem xmlns:ds="http://schemas.openxmlformats.org/officeDocument/2006/customXml" ds:itemID="{1E514C11-98F8-450E-9788-EF6F7D40E4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97b074-c6eb-410a-b54e-210c8f2242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35F590C-3D71-49F9-83E5-4533130E51E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MODE D'EMPLOI</vt:lpstr>
      <vt:lpstr>RECAPITULATIF CLASSE</vt:lpstr>
      <vt:lpstr>GROUPE 1</vt:lpstr>
      <vt:lpstr>'GROUPE 1'!Zone_d_impression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Laurent BIAGIOTTI</dc:creator>
  <cp:keywords/>
  <dc:description/>
  <cp:lastModifiedBy>Mélanie RAGOT</cp:lastModifiedBy>
  <cp:revision/>
  <cp:lastPrinted>2025-02-19T16:08:20Z</cp:lastPrinted>
  <dcterms:created xsi:type="dcterms:W3CDTF">2024-11-13T15:15:28Z</dcterms:created>
  <dcterms:modified xsi:type="dcterms:W3CDTF">2025-03-04T15:54:33Z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0x01010018B51702E45F3542B7EE0CA94E3D6A21</vt:lpwstr>
  </property>
</Properties>
</file>